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bhu\Desktop\RITC2022-Option-Volatility-Trading-Case\"/>
    </mc:Choice>
  </mc:AlternateContent>
  <xr:revisionPtr revIDLastSave="0" documentId="13_ncr:1_{C73F7EB3-4473-40E2-8D82-0BB59A96FD97}" xr6:coauthVersionLast="47" xr6:coauthVersionMax="47" xr10:uidLastSave="{00000000-0000-0000-0000-000000000000}"/>
  <bookViews>
    <workbookView xWindow="44880" yWindow="-120" windowWidth="29040" windowHeight="15840" xr2:uid="{31D4F585-B74B-46D2-9030-17E12B042FC9}"/>
  </bookViews>
  <sheets>
    <sheet name="Strategies" sheetId="1" r:id="rId1"/>
    <sheet name="IV" sheetId="13" r:id="rId2"/>
    <sheet name="News" sheetId="3" r:id="rId3"/>
    <sheet name="Delta" sheetId="1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2" i="12" l="1"/>
  <c r="B42" i="12"/>
  <c r="V21" i="1" s="1"/>
  <c r="H21" i="1" s="1"/>
  <c r="H41" i="12"/>
  <c r="B41" i="12"/>
  <c r="U21" i="1" s="1"/>
  <c r="H40" i="12"/>
  <c r="B40" i="12"/>
  <c r="V20" i="1" s="1"/>
  <c r="H20" i="1" s="1"/>
  <c r="H39" i="12"/>
  <c r="B39" i="12"/>
  <c r="U20" i="1" s="1"/>
  <c r="H38" i="12"/>
  <c r="B38" i="12"/>
  <c r="V19" i="1" s="1"/>
  <c r="H19" i="1" s="1"/>
  <c r="H37" i="12"/>
  <c r="B37" i="12"/>
  <c r="U19" i="1" s="1"/>
  <c r="G19" i="1" s="1"/>
  <c r="H36" i="12"/>
  <c r="B36" i="12"/>
  <c r="V18" i="1" s="1"/>
  <c r="H18" i="1" s="1"/>
  <c r="H35" i="12"/>
  <c r="B35" i="12"/>
  <c r="U18" i="1" s="1"/>
  <c r="H34" i="12"/>
  <c r="B34" i="12"/>
  <c r="V17" i="1" s="1"/>
  <c r="H17" i="1" s="1"/>
  <c r="H33" i="12"/>
  <c r="B33" i="12"/>
  <c r="U17" i="1" s="1"/>
  <c r="G17" i="1" s="1"/>
  <c r="H32" i="12"/>
  <c r="B32" i="12"/>
  <c r="V16" i="1" s="1"/>
  <c r="H16" i="1" s="1"/>
  <c r="H31" i="12"/>
  <c r="B31" i="12"/>
  <c r="U16" i="1" s="1"/>
  <c r="H30" i="12"/>
  <c r="B30" i="12"/>
  <c r="V15" i="1" s="1"/>
  <c r="H15" i="1" s="1"/>
  <c r="H29" i="12"/>
  <c r="B29" i="12"/>
  <c r="U15" i="1" s="1"/>
  <c r="G15" i="1" s="1"/>
  <c r="H28" i="12"/>
  <c r="B28" i="12"/>
  <c r="V14" i="1" s="1"/>
  <c r="H27" i="12"/>
  <c r="B27" i="12"/>
  <c r="U14" i="1" s="1"/>
  <c r="G14" i="1" s="1"/>
  <c r="H26" i="12"/>
  <c r="B26" i="12"/>
  <c r="V13" i="1" s="1"/>
  <c r="H13" i="1" s="1"/>
  <c r="H25" i="12"/>
  <c r="B25" i="12"/>
  <c r="U13" i="1" s="1"/>
  <c r="H24" i="12"/>
  <c r="B24" i="12"/>
  <c r="V12" i="1" s="1"/>
  <c r="H23" i="12"/>
  <c r="B23" i="12"/>
  <c r="U12" i="1" s="1"/>
  <c r="G12" i="1" s="1"/>
  <c r="H22" i="12"/>
  <c r="B22" i="12"/>
  <c r="V11" i="1" s="1"/>
  <c r="H11" i="1" s="1"/>
  <c r="H21" i="12"/>
  <c r="B21" i="12"/>
  <c r="U11" i="1" s="1"/>
  <c r="G11" i="1" s="1"/>
  <c r="H20" i="12"/>
  <c r="B20" i="12"/>
  <c r="V10" i="1" s="1"/>
  <c r="H10" i="1" s="1"/>
  <c r="H19" i="12"/>
  <c r="B19" i="12"/>
  <c r="U10" i="1" s="1"/>
  <c r="G10" i="1" s="1"/>
  <c r="H18" i="12"/>
  <c r="B18" i="12"/>
  <c r="V9" i="1" s="1"/>
  <c r="H17" i="12"/>
  <c r="B17" i="12"/>
  <c r="U9" i="1" s="1"/>
  <c r="G9" i="1" s="1"/>
  <c r="H16" i="12"/>
  <c r="B16" i="12"/>
  <c r="V8" i="1" s="1"/>
  <c r="H8" i="1" s="1"/>
  <c r="H15" i="12"/>
  <c r="B15" i="12"/>
  <c r="U8" i="1" s="1"/>
  <c r="G8" i="1" s="1"/>
  <c r="H14" i="12"/>
  <c r="B14" i="12"/>
  <c r="V7" i="1" s="1"/>
  <c r="H7" i="1" s="1"/>
  <c r="H13" i="12"/>
  <c r="B13" i="12"/>
  <c r="U7" i="1" s="1"/>
  <c r="G7" i="1" s="1"/>
  <c r="H12" i="12"/>
  <c r="B12" i="12"/>
  <c r="V6" i="1" s="1"/>
  <c r="H11" i="12"/>
  <c r="B11" i="12"/>
  <c r="U6" i="1" s="1"/>
  <c r="G6" i="1" s="1"/>
  <c r="H10" i="12"/>
  <c r="B10" i="12"/>
  <c r="V5" i="1" s="1"/>
  <c r="H5" i="1" s="1"/>
  <c r="H9" i="12"/>
  <c r="B9" i="12"/>
  <c r="U5" i="1" s="1"/>
  <c r="H8" i="12"/>
  <c r="B8" i="12"/>
  <c r="V4" i="1" s="1"/>
  <c r="H7" i="12"/>
  <c r="B7" i="12"/>
  <c r="U4" i="1" s="1"/>
  <c r="G4" i="1" s="1"/>
  <c r="H6" i="12"/>
  <c r="B6" i="12"/>
  <c r="H5" i="12"/>
  <c r="B5" i="12"/>
  <c r="U3" i="1" s="1"/>
  <c r="G3" i="1" s="1"/>
  <c r="H4" i="12"/>
  <c r="B4" i="12"/>
  <c r="V2" i="1" s="1"/>
  <c r="H2" i="1" s="1"/>
  <c r="H3" i="12"/>
  <c r="B3" i="12"/>
  <c r="V3" i="1" s="1"/>
  <c r="H3" i="1" s="1"/>
  <c r="H2" i="12"/>
  <c r="B2" i="12"/>
  <c r="W6" i="1" s="1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A10" i="3"/>
  <c r="H9" i="3"/>
  <c r="A9" i="3"/>
  <c r="H8" i="3"/>
  <c r="H7" i="3"/>
  <c r="H6" i="3"/>
  <c r="H5" i="3"/>
  <c r="H2" i="3"/>
  <c r="D4" i="3" s="1"/>
  <c r="H1" i="3"/>
  <c r="D2" i="3" s="1"/>
  <c r="H42" i="13"/>
  <c r="B42" i="13"/>
  <c r="H41" i="13"/>
  <c r="B41" i="13"/>
  <c r="H40" i="13"/>
  <c r="B40" i="13"/>
  <c r="H39" i="13"/>
  <c r="B39" i="13"/>
  <c r="H38" i="13"/>
  <c r="B38" i="13"/>
  <c r="H37" i="13"/>
  <c r="B37" i="13"/>
  <c r="H36" i="13"/>
  <c r="B36" i="13"/>
  <c r="H35" i="13"/>
  <c r="B35" i="13"/>
  <c r="H34" i="13"/>
  <c r="B34" i="13"/>
  <c r="H33" i="13"/>
  <c r="B33" i="13"/>
  <c r="H32" i="13"/>
  <c r="B32" i="13"/>
  <c r="H31" i="13"/>
  <c r="B31" i="13"/>
  <c r="H30" i="13"/>
  <c r="B30" i="13"/>
  <c r="H29" i="13"/>
  <c r="B29" i="13"/>
  <c r="H28" i="13"/>
  <c r="B28" i="13"/>
  <c r="H27" i="13"/>
  <c r="B27" i="13"/>
  <c r="H26" i="13"/>
  <c r="B26" i="13"/>
  <c r="H25" i="13"/>
  <c r="B25" i="13"/>
  <c r="H24" i="13"/>
  <c r="B24" i="13"/>
  <c r="H23" i="13"/>
  <c r="B23" i="13"/>
  <c r="H22" i="13"/>
  <c r="B22" i="13"/>
  <c r="H21" i="13"/>
  <c r="B21" i="13"/>
  <c r="H20" i="13"/>
  <c r="B20" i="13"/>
  <c r="H19" i="13"/>
  <c r="B19" i="13"/>
  <c r="H18" i="13"/>
  <c r="B18" i="13"/>
  <c r="H17" i="13"/>
  <c r="B17" i="13"/>
  <c r="H16" i="13"/>
  <c r="B16" i="13"/>
  <c r="H15" i="13"/>
  <c r="B15" i="13"/>
  <c r="H14" i="13"/>
  <c r="B14" i="13"/>
  <c r="H13" i="13"/>
  <c r="B13" i="13"/>
  <c r="H12" i="13"/>
  <c r="B12" i="13"/>
  <c r="H11" i="13"/>
  <c r="B11" i="13"/>
  <c r="H10" i="13"/>
  <c r="B10" i="13"/>
  <c r="H9" i="13"/>
  <c r="B9" i="13"/>
  <c r="H8" i="13"/>
  <c r="B8" i="13"/>
  <c r="H7" i="13"/>
  <c r="B7" i="13"/>
  <c r="H6" i="13"/>
  <c r="B6" i="13"/>
  <c r="H5" i="13"/>
  <c r="B5" i="13"/>
  <c r="H4" i="13"/>
  <c r="B4" i="13"/>
  <c r="H3" i="13"/>
  <c r="B3" i="13"/>
  <c r="H2" i="13"/>
  <c r="B2" i="13"/>
  <c r="C25" i="1"/>
  <c r="B25" i="1"/>
  <c r="C24" i="1"/>
  <c r="K21" i="1"/>
  <c r="J21" i="1"/>
  <c r="K20" i="1"/>
  <c r="J20" i="1"/>
  <c r="K19" i="1"/>
  <c r="J19" i="1"/>
  <c r="K18" i="1"/>
  <c r="J18" i="1"/>
  <c r="K17" i="1"/>
  <c r="J17" i="1"/>
  <c r="K16" i="1"/>
  <c r="J16" i="1"/>
  <c r="K15" i="1"/>
  <c r="J15" i="1"/>
  <c r="K14" i="1"/>
  <c r="J14" i="1"/>
  <c r="K13" i="1"/>
  <c r="J13" i="1"/>
  <c r="K12" i="1"/>
  <c r="J12" i="1"/>
  <c r="K11" i="1"/>
  <c r="J11" i="1"/>
  <c r="K10" i="1"/>
  <c r="J10" i="1"/>
  <c r="K9" i="1"/>
  <c r="J9" i="1"/>
  <c r="AC8" i="1"/>
  <c r="K8" i="1"/>
  <c r="J8" i="1"/>
  <c r="K7" i="1"/>
  <c r="J7" i="1"/>
  <c r="K6" i="1"/>
  <c r="J6" i="1"/>
  <c r="K5" i="1"/>
  <c r="J5" i="1"/>
  <c r="B5" i="1"/>
  <c r="B4" i="1" s="1"/>
  <c r="K4" i="1"/>
  <c r="J4" i="1"/>
  <c r="K3" i="1"/>
  <c r="J3" i="1"/>
  <c r="B3" i="1"/>
  <c r="K2" i="1"/>
  <c r="J2" i="1"/>
  <c r="B1" i="1"/>
  <c r="B5" i="3" l="1"/>
  <c r="B12" i="3"/>
  <c r="N19" i="1"/>
  <c r="N15" i="1"/>
  <c r="N17" i="1"/>
  <c r="N10" i="1"/>
  <c r="N8" i="1"/>
  <c r="N7" i="1"/>
  <c r="N11" i="1"/>
  <c r="N3" i="1"/>
  <c r="I17" i="1"/>
  <c r="W9" i="1"/>
  <c r="X9" i="1" s="1"/>
  <c r="W14" i="1"/>
  <c r="X14" i="1" s="1"/>
  <c r="W5" i="1"/>
  <c r="X5" i="1" s="1"/>
  <c r="W8" i="1"/>
  <c r="X8" i="1" s="1"/>
  <c r="W13" i="1"/>
  <c r="X13" i="1" s="1"/>
  <c r="I18" i="1"/>
  <c r="I15" i="1"/>
  <c r="W11" i="1"/>
  <c r="X11" i="1" s="1"/>
  <c r="W19" i="1"/>
  <c r="X19" i="1" s="1"/>
  <c r="W18" i="1"/>
  <c r="X18" i="1" s="1"/>
  <c r="W2" i="1"/>
  <c r="I19" i="1"/>
  <c r="I5" i="1"/>
  <c r="W12" i="1"/>
  <c r="X12" i="1" s="1"/>
  <c r="I16" i="1"/>
  <c r="W20" i="1"/>
  <c r="X20" i="1" s="1"/>
  <c r="W21" i="1"/>
  <c r="X21" i="1" s="1"/>
  <c r="I14" i="1"/>
  <c r="I9" i="1"/>
  <c r="I11" i="1"/>
  <c r="W15" i="1"/>
  <c r="X15" i="1" s="1"/>
  <c r="I3" i="1"/>
  <c r="I8" i="1"/>
  <c r="I13" i="1"/>
  <c r="W17" i="1"/>
  <c r="X17" i="1" s="1"/>
  <c r="I21" i="1"/>
  <c r="I2" i="1"/>
  <c r="W3" i="1"/>
  <c r="X3" i="1" s="1"/>
  <c r="I12" i="1"/>
  <c r="W16" i="1"/>
  <c r="X16" i="1" s="1"/>
  <c r="I20" i="1"/>
  <c r="U2" i="1"/>
  <c r="G2" i="1" s="1"/>
  <c r="N2" i="1" s="1"/>
  <c r="G13" i="1"/>
  <c r="N13" i="1" s="1"/>
  <c r="G21" i="1"/>
  <c r="N21" i="1" s="1"/>
  <c r="G16" i="1"/>
  <c r="N16" i="1" s="1"/>
  <c r="B6" i="1"/>
  <c r="B7" i="1"/>
  <c r="G18" i="1"/>
  <c r="N18" i="1" s="1"/>
  <c r="G5" i="1"/>
  <c r="N5" i="1" s="1"/>
  <c r="G20" i="1"/>
  <c r="N20" i="1" s="1"/>
  <c r="B7" i="3"/>
  <c r="M2" i="13" s="1"/>
  <c r="H6" i="1"/>
  <c r="N6" i="1" s="1"/>
  <c r="X6" i="1"/>
  <c r="H14" i="1"/>
  <c r="N14" i="1" s="1"/>
  <c r="H9" i="1"/>
  <c r="N9" i="1" s="1"/>
  <c r="H4" i="1"/>
  <c r="N4" i="1" s="1"/>
  <c r="H12" i="1"/>
  <c r="N12" i="1" s="1"/>
  <c r="D3" i="3"/>
  <c r="B4" i="3" s="1"/>
  <c r="B9" i="1" s="1"/>
  <c r="I7" i="1"/>
  <c r="W7" i="1"/>
  <c r="X7" i="1" s="1"/>
  <c r="I10" i="1"/>
  <c r="W10" i="1"/>
  <c r="X10" i="1" s="1"/>
  <c r="I4" i="1"/>
  <c r="W4" i="1"/>
  <c r="X4" i="1" s="1"/>
  <c r="D1" i="3"/>
  <c r="I6" i="1"/>
  <c r="F23" i="12" l="1"/>
  <c r="F7" i="13"/>
  <c r="F42" i="13"/>
  <c r="F28" i="13"/>
  <c r="F26" i="12"/>
  <c r="F16" i="13"/>
  <c r="F11" i="12"/>
  <c r="F16" i="12"/>
  <c r="F9" i="13"/>
  <c r="F20" i="12"/>
  <c r="F37" i="13"/>
  <c r="F39" i="12"/>
  <c r="F8" i="13"/>
  <c r="F10" i="13"/>
  <c r="X2" i="1"/>
  <c r="F41" i="13"/>
  <c r="F42" i="12"/>
  <c r="F36" i="13"/>
  <c r="F40" i="12"/>
  <c r="F22" i="12"/>
  <c r="F30" i="13"/>
  <c r="F35" i="12"/>
  <c r="F34" i="12"/>
  <c r="B3" i="3"/>
  <c r="B8" i="1" s="1"/>
  <c r="F12" i="13"/>
  <c r="F22" i="13"/>
  <c r="F15" i="12"/>
  <c r="F6" i="13"/>
  <c r="F13" i="13"/>
  <c r="F33" i="12"/>
  <c r="F15" i="13"/>
  <c r="F31" i="12"/>
  <c r="F24" i="12"/>
  <c r="F32" i="13"/>
  <c r="F4" i="12"/>
  <c r="F3" i="12"/>
  <c r="F19" i="12"/>
  <c r="F20" i="13"/>
  <c r="F17" i="13"/>
  <c r="F30" i="12"/>
  <c r="F14" i="13"/>
  <c r="F29" i="13"/>
  <c r="F27" i="13"/>
  <c r="F24" i="13"/>
  <c r="F12" i="12"/>
  <c r="F5" i="12"/>
  <c r="F21" i="12"/>
  <c r="F3" i="13"/>
  <c r="F19" i="13"/>
  <c r="F35" i="13"/>
  <c r="F37" i="12"/>
  <c r="M2" i="12"/>
  <c r="F13" i="12"/>
  <c r="F33" i="13"/>
  <c r="F26" i="13"/>
  <c r="F40" i="13"/>
  <c r="F17" i="12"/>
  <c r="F36" i="12"/>
  <c r="F29" i="12"/>
  <c r="F25" i="13"/>
  <c r="F28" i="12"/>
  <c r="F27" i="12"/>
  <c r="F38" i="13"/>
  <c r="AD8" i="1"/>
  <c r="F38" i="12"/>
  <c r="F8" i="12"/>
  <c r="F18" i="12"/>
  <c r="F7" i="12"/>
  <c r="F6" i="12"/>
  <c r="F5" i="13"/>
  <c r="F21" i="13"/>
  <c r="F11" i="13"/>
  <c r="F31" i="13"/>
  <c r="F18" i="13"/>
  <c r="F39" i="13"/>
  <c r="F23" i="13"/>
  <c r="F41" i="12"/>
  <c r="F25" i="12"/>
  <c r="F34" i="13"/>
  <c r="F32" i="12"/>
  <c r="F14" i="12"/>
  <c r="F4" i="13"/>
  <c r="F9" i="12"/>
  <c r="F10" i="12"/>
  <c r="G7" i="13"/>
  <c r="G23" i="12"/>
  <c r="G22" i="13"/>
  <c r="G14" i="12"/>
  <c r="G15" i="12"/>
  <c r="G30" i="12"/>
  <c r="G36" i="12"/>
  <c r="G9" i="13"/>
  <c r="G18" i="12"/>
  <c r="G35" i="12"/>
  <c r="G27" i="12"/>
  <c r="G34" i="13"/>
  <c r="G38" i="13"/>
  <c r="G33" i="12"/>
  <c r="G16" i="12"/>
  <c r="G14" i="13"/>
  <c r="G39" i="12"/>
  <c r="G26" i="12"/>
  <c r="G19" i="12"/>
  <c r="G41" i="13"/>
  <c r="G35" i="13"/>
  <c r="G8" i="13"/>
  <c r="G11" i="12"/>
  <c r="G38" i="12"/>
  <c r="G30" i="13"/>
  <c r="G13" i="12"/>
  <c r="G42" i="13"/>
  <c r="G10" i="12"/>
  <c r="G13" i="13"/>
  <c r="G25" i="13"/>
  <c r="G32" i="12"/>
  <c r="G41" i="12"/>
  <c r="G27" i="13"/>
  <c r="G3" i="12"/>
  <c r="G7" i="12"/>
  <c r="G31" i="13"/>
  <c r="G26" i="13"/>
  <c r="G17" i="13"/>
  <c r="G24" i="13"/>
  <c r="G33" i="13"/>
  <c r="G24" i="12"/>
  <c r="G23" i="13"/>
  <c r="G32" i="13"/>
  <c r="G28" i="13"/>
  <c r="G8" i="12"/>
  <c r="G9" i="12"/>
  <c r="G31" i="12"/>
  <c r="G29" i="13"/>
  <c r="G18" i="13"/>
  <c r="G28" i="12"/>
  <c r="G5" i="13"/>
  <c r="G4" i="13"/>
  <c r="G21" i="12"/>
  <c r="G12" i="13"/>
  <c r="G6" i="13"/>
  <c r="G25" i="12"/>
  <c r="G11" i="13"/>
  <c r="G39" i="13"/>
  <c r="G20" i="13"/>
  <c r="G36" i="13"/>
  <c r="G40" i="12"/>
  <c r="G37" i="12"/>
  <c r="G10" i="13"/>
  <c r="G42" i="12"/>
  <c r="G15" i="13"/>
  <c r="G21" i="13"/>
  <c r="G19" i="13"/>
  <c r="G22" i="12"/>
  <c r="G12" i="12"/>
  <c r="G17" i="12"/>
  <c r="G29" i="12"/>
  <c r="G34" i="12"/>
  <c r="G40" i="13"/>
  <c r="G4" i="12"/>
  <c r="G3" i="13"/>
  <c r="G20" i="12"/>
  <c r="G37" i="13"/>
  <c r="G5" i="12"/>
  <c r="G16" i="13"/>
  <c r="G6" i="12"/>
  <c r="L4" i="1" l="1"/>
  <c r="M21" i="1"/>
  <c r="L21" i="1"/>
  <c r="M17" i="1"/>
  <c r="M10" i="1"/>
  <c r="L11" i="1"/>
  <c r="L17" i="1"/>
  <c r="L13" i="1"/>
  <c r="M5" i="1"/>
  <c r="M8" i="1"/>
  <c r="I2" i="13"/>
  <c r="L2" i="1"/>
  <c r="M12" i="1"/>
  <c r="I2" i="12"/>
  <c r="AC10" i="1" s="1"/>
  <c r="L7" i="1"/>
  <c r="M15" i="1"/>
  <c r="M4" i="1"/>
  <c r="M19" i="1"/>
  <c r="L5" i="1"/>
  <c r="L9" i="1"/>
  <c r="L20" i="1"/>
  <c r="M2" i="1"/>
  <c r="M9" i="1"/>
  <c r="L14" i="1"/>
  <c r="M3" i="1"/>
  <c r="M14" i="1"/>
  <c r="M13" i="1"/>
  <c r="L18" i="1"/>
  <c r="L15" i="1"/>
  <c r="M16" i="1"/>
  <c r="L19" i="1"/>
  <c r="M20" i="1"/>
  <c r="M6" i="1"/>
  <c r="L3" i="1"/>
  <c r="L8" i="1"/>
  <c r="L12" i="1"/>
  <c r="L16" i="1"/>
  <c r="L6" i="1"/>
  <c r="L10" i="1"/>
  <c r="M7" i="1"/>
  <c r="M11" i="1"/>
  <c r="M18" i="1"/>
  <c r="AD10" i="1"/>
  <c r="J2" i="12"/>
  <c r="L2" i="12"/>
  <c r="J2" i="13"/>
  <c r="B6" i="3"/>
  <c r="L2" i="13"/>
</calcChain>
</file>

<file path=xl/sharedStrings.xml><?xml version="1.0" encoding="utf-8"?>
<sst xmlns="http://schemas.openxmlformats.org/spreadsheetml/2006/main" count="151" uniqueCount="84">
  <si>
    <t>RTM</t>
  </si>
  <si>
    <t>PnL</t>
  </si>
  <si>
    <t>position</t>
  </si>
  <si>
    <t>Strike 2</t>
  </si>
  <si>
    <t>Strike 1</t>
  </si>
  <si>
    <t>Delta Limit</t>
  </si>
  <si>
    <t>Position</t>
  </si>
  <si>
    <t>RTM1C45</t>
  </si>
  <si>
    <t>RTM1P45</t>
  </si>
  <si>
    <t>RTM1C46</t>
  </si>
  <si>
    <t>RTM1P46</t>
  </si>
  <si>
    <t>RTM1C47</t>
  </si>
  <si>
    <t>RTM1P47</t>
  </si>
  <si>
    <t>RTM1C48</t>
  </si>
  <si>
    <t>RTM1P48</t>
  </si>
  <si>
    <t>RTM1C49</t>
  </si>
  <si>
    <t>RTM1P49</t>
  </si>
  <si>
    <t>RTM1C50</t>
  </si>
  <si>
    <t>RTM1P50</t>
  </si>
  <si>
    <t>RTM1C51</t>
  </si>
  <si>
    <t>RTM1P51</t>
  </si>
  <si>
    <t>RTM1C52</t>
  </si>
  <si>
    <t>RTM1P52</t>
  </si>
  <si>
    <t>RTM1C53</t>
  </si>
  <si>
    <t>RTM1P53</t>
  </si>
  <si>
    <t>RTM1C54</t>
  </si>
  <si>
    <t>RTM1P54</t>
  </si>
  <si>
    <t>RTM2C45</t>
  </si>
  <si>
    <t>RTM2P45</t>
  </si>
  <si>
    <t>RTM2C46</t>
  </si>
  <si>
    <t>RTM2P46</t>
  </si>
  <si>
    <t>RTM2C47</t>
  </si>
  <si>
    <t>RTM2P47</t>
  </si>
  <si>
    <t>RTM2C48</t>
  </si>
  <si>
    <t>RTM2P48</t>
  </si>
  <si>
    <t>RTM2C49</t>
  </si>
  <si>
    <t>RTM2P49</t>
  </si>
  <si>
    <t>RTM2C50</t>
  </si>
  <si>
    <t>RTM2P50</t>
  </si>
  <si>
    <t>RTM2C51</t>
  </si>
  <si>
    <t>RTM2P51</t>
  </si>
  <si>
    <t>RTM2C52</t>
  </si>
  <si>
    <t>RTM2P52</t>
  </si>
  <si>
    <t>RTM2C53</t>
  </si>
  <si>
    <t>RTM2P53</t>
  </si>
  <si>
    <t>RTM2C54</t>
  </si>
  <si>
    <t>RTM2P54</t>
  </si>
  <si>
    <t xml:space="preserve">Term </t>
    <phoneticPr fontId="1" type="noConversion"/>
  </si>
  <si>
    <t>Time Spent in period</t>
    <phoneticPr fontId="1" type="noConversion"/>
  </si>
  <si>
    <t>Year to Maturity for 1</t>
    <phoneticPr fontId="1" type="noConversion"/>
  </si>
  <si>
    <t>Year to Maturity for 2</t>
    <phoneticPr fontId="1" type="noConversion"/>
  </si>
  <si>
    <t>Annual Risk Free Rate (r)</t>
    <phoneticPr fontId="1" type="noConversion"/>
  </si>
  <si>
    <t>Volitarity for current week</t>
    <phoneticPr fontId="1" type="noConversion"/>
  </si>
  <si>
    <t>Volitarity for next week</t>
    <phoneticPr fontId="1" type="noConversion"/>
  </si>
  <si>
    <t>Volatility for this week</t>
    <phoneticPr fontId="1" type="noConversion"/>
  </si>
  <si>
    <t>Volatility for next week</t>
    <phoneticPr fontId="1" type="noConversion"/>
  </si>
  <si>
    <t>LAST 2</t>
    <phoneticPr fontId="1" type="noConversion"/>
  </si>
  <si>
    <t>LAST 1</t>
    <phoneticPr fontId="1" type="noConversion"/>
  </si>
  <si>
    <t>Delta</t>
  </si>
  <si>
    <t>Portfolio delta</t>
  </si>
  <si>
    <t>Strike</t>
  </si>
  <si>
    <t>Tick</t>
  </si>
  <si>
    <t>Time to Maturity</t>
  </si>
  <si>
    <t>put/call</t>
  </si>
  <si>
    <t>Price</t>
  </si>
  <si>
    <t>Maturity Term</t>
  </si>
  <si>
    <t>CurDelta</t>
  </si>
  <si>
    <t>CurFines</t>
  </si>
  <si>
    <t>Limit</t>
  </si>
  <si>
    <t>Penalty</t>
  </si>
  <si>
    <t>Latest News</t>
  </si>
  <si>
    <t>Put</t>
  </si>
  <si>
    <t>Call</t>
  </si>
  <si>
    <t>Stock</t>
  </si>
  <si>
    <t>Arbitrage</t>
  </si>
  <si>
    <t>Maturity</t>
  </si>
  <si>
    <t>Enter Threshold 2</t>
  </si>
  <si>
    <t>Enter threshold 1</t>
  </si>
  <si>
    <t>IV</t>
  </si>
  <si>
    <t>Call IV</t>
  </si>
  <si>
    <t>Put IV</t>
  </si>
  <si>
    <t>Call Cost</t>
  </si>
  <si>
    <t>Put Cost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</si>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</sst>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0" fontId="4" fillId="2" borderId="0" xfId="0" applyFont="1" applyFill="1"/>
    <xf numFmtId="0" fontId="4" fillId="3" borderId="1" xfId="0" applyFont="1" applyFill="1" applyBorder="1"/>
    <xf numFmtId="0" fontId="4" fillId="4" borderId="1" xfId="0" applyFont="1" applyFill="1" applyBorder="1"/>
    <xf numFmtId="0" fontId="5" fillId="0" borderId="0" xfId="0" applyFont="1"/>
    <xf numFmtId="0" fontId="4" fillId="0" borderId="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0</v>
        <stp/>
        <stp>RTM</stp>
        <stp>POSITION</stp>
        <tr r="H2" s="13"/>
        <tr r="H2" s="12"/>
      </tp>
      <tp>
        <v>80</v>
        <stp/>
        <stp>TIMEREMAINING</stp>
        <tr r="B4" s="1"/>
      </tp>
      <tp t="s">
        <v>2,187,,News 7,The annualized volatility of RTM is expected to be between 25% ~ 30% at the start of Week 8</v>
        <stp/>
        <stp>LATESTNEWS</stp>
        <stp>1</stp>
        <tr r="A10" s="3"/>
        <tr r="H2" s="3"/>
      </tp>
      <tp t="s">
        <v>2,150,Week 7,Announcement 6,The latest annualized volatility of RTM is 25%</v>
        <stp/>
        <stp>LATESTNEWS</stp>
        <stp>2</stp>
        <tr r="A9" s="3"/>
        <tr r="H1" s="3"/>
      </tp>
      <tp>
        <v>5515.78</v>
        <stp/>
        <stp>PL</stp>
        <tr r="B1" s="1"/>
      </tp>
      <tp>
        <v>48.65</v>
        <stp/>
        <stp>rtm</stp>
        <stp>BID</stp>
        <tr r="B3" s="1"/>
      </tp>
      <tp>
        <v>0</v>
        <stp/>
        <stp>RTM2P49</stp>
        <stp>POSITION</stp>
        <tr r="H32" s="13"/>
        <tr r="H32" s="12"/>
      </tp>
      <tp>
        <v>0</v>
        <stp/>
        <stp>RTM2C49</stp>
        <stp>POSITION</stp>
        <tr r="H31" s="12"/>
        <tr r="H31" s="13"/>
      </tp>
      <tp>
        <v>0</v>
        <stp/>
        <stp>RTM1P49</stp>
        <stp>POSITION</stp>
        <tr r="H12" s="13"/>
        <tr r="H12" s="12"/>
      </tp>
      <tp>
        <v>0</v>
        <stp/>
        <stp>RTM1C49</stp>
        <stp>POSITION</stp>
        <tr r="H11" s="12"/>
        <tr r="H11" s="13"/>
      </tp>
      <tp>
        <v>0</v>
        <stp/>
        <stp>RTM2P48</stp>
        <stp>POSITION</stp>
        <tr r="H30" s="13"/>
        <tr r="H30" s="12"/>
      </tp>
      <tp>
        <v>0</v>
        <stp/>
        <stp>RTM2C48</stp>
        <stp>POSITION</stp>
        <tr r="H29" s="13"/>
        <tr r="H29" s="12"/>
      </tp>
      <tp>
        <v>0</v>
        <stp/>
        <stp>RTM1P48</stp>
        <stp>POSITION</stp>
        <tr r="H10" s="13"/>
        <tr r="H10" s="12"/>
      </tp>
      <tp>
        <v>0</v>
        <stp/>
        <stp>RTM1C48</stp>
        <stp>POSITION</stp>
        <tr r="H9" s="13"/>
        <tr r="H9" s="12"/>
      </tp>
      <tp>
        <v>0</v>
        <stp/>
        <stp>RTM2P45</stp>
        <stp>POSITION</stp>
        <tr r="H24" s="13"/>
        <tr r="H24" s="12"/>
      </tp>
      <tp>
        <v>0</v>
        <stp/>
        <stp>RTM2C45</stp>
        <stp>POSITION</stp>
        <tr r="H23" s="12"/>
        <tr r="H23" s="13"/>
      </tp>
      <tp>
        <v>0</v>
        <stp/>
        <stp>RTM1P45</stp>
        <stp>POSITION</stp>
        <tr r="H4" s="13"/>
        <tr r="H4" s="12"/>
      </tp>
      <tp>
        <v>0</v>
        <stp/>
        <stp>RTM1C45</stp>
        <stp>POSITION</stp>
        <tr r="H3" s="12"/>
        <tr r="H3" s="13"/>
      </tp>
      <tp>
        <v>0</v>
        <stp/>
        <stp>RTM2P47</stp>
        <stp>POSITION</stp>
        <tr r="H28" s="13"/>
        <tr r="H28" s="12"/>
      </tp>
      <tp>
        <v>0</v>
        <stp/>
        <stp>RTM2C47</stp>
        <stp>POSITION</stp>
        <tr r="H27" s="12"/>
        <tr r="H27" s="13"/>
      </tp>
      <tp>
        <v>0</v>
        <stp/>
        <stp>RTM1P47</stp>
        <stp>POSITION</stp>
        <tr r="H8" s="13"/>
        <tr r="H8" s="12"/>
      </tp>
      <tp>
        <v>0</v>
        <stp/>
        <stp>RTM1C47</stp>
        <stp>POSITION</stp>
        <tr r="H7" s="12"/>
        <tr r="H7" s="13"/>
      </tp>
      <tp>
        <v>0</v>
        <stp/>
        <stp>RTM2P46</stp>
        <stp>POSITION</stp>
        <tr r="H26" s="13"/>
        <tr r="H26" s="12"/>
      </tp>
      <tp>
        <v>0</v>
        <stp/>
        <stp>RTM2C46</stp>
        <stp>POSITION</stp>
        <tr r="H25" s="13"/>
        <tr r="H25" s="12"/>
      </tp>
      <tp>
        <v>0</v>
        <stp/>
        <stp>RTM1P46</stp>
        <stp>POSITION</stp>
        <tr r="H6" s="13"/>
        <tr r="H6" s="12"/>
      </tp>
      <tp>
        <v>0</v>
        <stp/>
        <stp>RTM1C46</stp>
        <stp>POSITION</stp>
        <tr r="H5" s="13"/>
        <tr r="H5" s="12"/>
      </tp>
      <tp>
        <v>0</v>
        <stp/>
        <stp>RTM2P54</stp>
        <stp>POSITION</stp>
        <tr r="H42" s="13"/>
        <tr r="H42" s="12"/>
      </tp>
      <tp>
        <v>0</v>
        <stp/>
        <stp>RTM2C54</stp>
        <stp>POSITION</stp>
        <tr r="H41" s="13"/>
        <tr r="H41" s="12"/>
      </tp>
      <tp>
        <v>0</v>
        <stp/>
        <stp>RTM1P54</stp>
        <stp>POSITION</stp>
        <tr r="H22" s="13"/>
        <tr r="H22" s="12"/>
      </tp>
      <tp>
        <v>0</v>
        <stp/>
        <stp>RTM1C54</stp>
        <stp>POSITION</stp>
        <tr r="H21" s="13"/>
        <tr r="H21" s="12"/>
      </tp>
      <tp>
        <v>0</v>
        <stp/>
        <stp>RTM2P51</stp>
        <stp>POSITION</stp>
        <tr r="H36" s="13"/>
        <tr r="H36" s="12"/>
      </tp>
      <tp>
        <v>0</v>
        <stp/>
        <stp>RTM2C51</stp>
        <stp>POSITION</stp>
        <tr r="H35" s="12"/>
        <tr r="H35" s="13"/>
      </tp>
      <tp>
        <v>0</v>
        <stp/>
        <stp>RTM1P51</stp>
        <stp>POSITION</stp>
        <tr r="H16" s="13"/>
        <tr r="H16" s="12"/>
      </tp>
      <tp>
        <v>0</v>
        <stp/>
        <stp>RTM1C51</stp>
        <stp>POSITION</stp>
        <tr r="H15" s="12"/>
        <tr r="H15" s="13"/>
      </tp>
      <tp>
        <v>0</v>
        <stp/>
        <stp>RTM2P50</stp>
        <stp>POSITION</stp>
        <tr r="H34" s="13"/>
        <tr r="H34" s="12"/>
      </tp>
      <tp>
        <v>0</v>
        <stp/>
        <stp>RTM2C50</stp>
        <stp>POSITION</stp>
        <tr r="H33" s="13"/>
        <tr r="H33" s="12"/>
      </tp>
      <tp>
        <v>0</v>
        <stp/>
        <stp>RTM1P50</stp>
        <stp>POSITION</stp>
        <tr r="H14" s="13"/>
        <tr r="H14" s="12"/>
      </tp>
      <tp>
        <v>0</v>
        <stp/>
        <stp>RTM1C50</stp>
        <stp>POSITION</stp>
        <tr r="H13" s="13"/>
        <tr r="H13" s="12"/>
      </tp>
      <tp>
        <v>0</v>
        <stp/>
        <stp>RTM2P53</stp>
        <stp>POSITION</stp>
        <tr r="H40" s="13"/>
        <tr r="H40" s="12"/>
      </tp>
      <tp>
        <v>0</v>
        <stp/>
        <stp>RTM2C53</stp>
        <stp>POSITION</stp>
        <tr r="H39" s="12"/>
        <tr r="H39" s="13"/>
      </tp>
      <tp>
        <v>0</v>
        <stp/>
        <stp>RTM1P53</stp>
        <stp>POSITION</stp>
        <tr r="H20" s="13"/>
        <tr r="H20" s="12"/>
      </tp>
      <tp>
        <v>0</v>
        <stp/>
        <stp>RTM1C53</stp>
        <stp>POSITION</stp>
        <tr r="H19" s="12"/>
        <tr r="H19" s="13"/>
      </tp>
      <tp>
        <v>0</v>
        <stp/>
        <stp>RTM2P52</stp>
        <stp>POSITION</stp>
        <tr r="H38" s="13"/>
        <tr r="H38" s="12"/>
      </tp>
      <tp>
        <v>0</v>
        <stp/>
        <stp>RTM2C52</stp>
        <stp>POSITION</stp>
        <tr r="H37" s="13"/>
        <tr r="H37" s="12"/>
      </tp>
      <tp>
        <v>0</v>
        <stp/>
        <stp>RTM1P52</stp>
        <stp>POSITION</stp>
        <tr r="H18" s="13"/>
        <tr r="H18" s="12"/>
      </tp>
      <tp>
        <v>0</v>
        <stp/>
        <stp>RTM1C52</stp>
        <stp>POSITION</stp>
        <tr r="H17" s="13"/>
        <tr r="H17" s="12"/>
      </tp>
      <tp>
        <v>48.66</v>
        <stp/>
        <stp>RTM</stp>
        <stp>LAST</stp>
        <tr r="B2" s="13"/>
        <tr r="B2" s="12"/>
      </tp>
      <tp t="s">
        <v>NEWS|20</v>
        <stp/>
        <stp>NEWS</stp>
        <stp>20</stp>
        <tr r="H24" s="3"/>
      </tp>
      <tp t="s">
        <v>NEWS|19</v>
        <stp/>
        <stp>NEWS</stp>
        <stp>19</stp>
        <tr r="H23" s="3"/>
      </tp>
      <tp t="s">
        <v>NEWS|18</v>
        <stp/>
        <stp>NEWS</stp>
        <stp>18</stp>
        <tr r="H22" s="3"/>
      </tp>
      <tp t="s">
        <v>2,112,,News 6,The annualized volatility of RTM is expected to be between 22% ~ 27% at the start of Week 7</v>
        <stp/>
        <stp>NEWS</stp>
        <stp>13</stp>
        <tr r="H17" s="3"/>
      </tp>
      <tp t="s">
        <v>2,75,Week 6,Announcement 5,The latest annualized volatility of RTM is 28%</v>
        <stp/>
        <stp>NEWS</stp>
        <stp>12</stp>
        <tr r="H16" s="3"/>
      </tp>
      <tp t="s">
        <v>2,37,,News 5,The annualized volatility of RTM is expected to be between 26% ~ 31% at the start of Week 6</v>
        <stp/>
        <stp>NEWS</stp>
        <stp>11</stp>
        <tr r="H15" s="3"/>
      </tp>
      <tp t="s">
        <v>2,0,Week 5,Announcement 4,The latest annualized volatility of RTM is 27%</v>
        <stp/>
        <stp>NEWS</stp>
        <stp>10</stp>
        <tr r="H14" s="3"/>
      </tp>
      <tp t="s">
        <v>NEWS|17</v>
        <stp/>
        <stp>NEWS</stp>
        <stp>17</stp>
        <tr r="H21" s="3"/>
      </tp>
      <tp t="s">
        <v>NEWS|16</v>
        <stp/>
        <stp>NEWS</stp>
        <stp>16</stp>
        <tr r="H20" s="3"/>
      </tp>
      <tp t="s">
        <v>2,187,,News 7,The annualized volatility of RTM is expected to be between 25% ~ 30% at the start of Week 8</v>
        <stp/>
        <stp>NEWS</stp>
        <stp>15</stp>
        <tr r="H19" s="3"/>
      </tp>
      <tp t="s">
        <v>2,150,Week 7,Announcement 6,The latest annualized volatility of RTM is 25%</v>
        <stp/>
        <stp>NEWS</stp>
        <stp>14</stp>
        <tr r="H18" s="3"/>
      </tp>
      <tp t="s">
        <v>1,262,,News 4,The annualized volatility of RTM is expected to be between 26% ~ 31% at the start of Week 5</v>
        <stp/>
        <stp>NEWS</stp>
        <stp>9</stp>
        <tr r="H13" s="3"/>
      </tp>
      <tp t="s">
        <v>1,225,Week 4,Announcement 3,The latest annualized volatility of RTM is 25%</v>
        <stp/>
        <stp>NEWS</stp>
        <stp>8</stp>
        <tr r="H12" s="3"/>
      </tp>
      <tp t="s">
        <v>1,37,,News 1,The annualized volatility of RTM is expected to be between 25% ~ 30% at the start of Week 2</v>
        <stp/>
        <stp>NEWS</stp>
        <stp>3</stp>
        <tr r="H7" s="3"/>
      </tp>
      <tp t="s">
        <v>1,0,,Delta Limit and Penalty Percentage,The delta limit for this heat is 12,000 and the penalty percentage is 7%</v>
        <stp/>
        <stp>NEWS</stp>
        <stp>2</stp>
        <tr r="H6" s="3"/>
      </tp>
      <tp t="s">
        <v>1,0,Week 1,Risk free rate and current annualized volatility of RTM,The current risk free rate is 0%. RTM is an ETF that mimics one of the major indices in the simulated world and its current annualized volatility is 20%. This heat consists of 20 trading days.</v>
        <stp/>
        <stp>NEWS</stp>
        <stp>1</stp>
        <tr r="H5" s="3"/>
      </tp>
      <tp t="s">
        <v>1,187,,News 3,The annualized volatility of RTM is expected to be between 23% ~ 28% at the start of Week 4</v>
        <stp/>
        <stp>NEWS</stp>
        <stp>7</stp>
        <tr r="H11" s="3"/>
      </tp>
      <tp t="s">
        <v>1,150,Week 3,Announcement 2,The latest annualized volatility of RTM is 29%</v>
        <stp/>
        <stp>NEWS</stp>
        <stp>6</stp>
        <tr r="H10" s="3"/>
      </tp>
      <tp t="s">
        <v>1,112,,News 2,The annualized volatility of RTM is expected to be between 25% ~ 30% at the start of Week 3</v>
        <stp/>
        <stp>NEWS</stp>
        <stp>5</stp>
        <tr r="H9" s="3"/>
      </tp>
      <tp t="s">
        <v>1,75,Week 2,Announcement 1,The latest annualized volatility of RTM is 27%</v>
        <stp/>
        <stp>NEWS</stp>
        <stp>4</stp>
        <tr r="H8" s="3"/>
      </tp>
      <tp>
        <v>2</v>
        <stp/>
        <stp>PERIOD</stp>
        <tr r="B5" s="1"/>
      </tp>
      <tp>
        <v>0</v>
        <stp/>
        <stp>RTM1P52</stp>
        <stp>COST</stp>
        <tr r="K9" s="1"/>
      </tp>
      <tp>
        <v>0</v>
        <stp/>
        <stp>RTM1C52</stp>
        <stp>COST</stp>
        <tr r="J9" s="1"/>
      </tp>
      <tp>
        <v>0</v>
        <stp/>
        <stp>RTM2P52</stp>
        <stp>COST</stp>
        <tr r="K19" s="1"/>
      </tp>
      <tp>
        <v>0</v>
        <stp/>
        <stp>RTM2C52</stp>
        <stp>COST</stp>
        <tr r="J19" s="1"/>
      </tp>
      <tp>
        <v>0</v>
        <stp/>
        <stp>RTM1P53</stp>
        <stp>COST</stp>
        <tr r="K10" s="1"/>
      </tp>
      <tp>
        <v>0</v>
        <stp/>
        <stp>RTM1C53</stp>
        <stp>COST</stp>
        <tr r="J10" s="1"/>
      </tp>
      <tp>
        <v>0</v>
        <stp/>
        <stp>RTM2P53</stp>
        <stp>COST</stp>
        <tr r="K20" s="1"/>
      </tp>
      <tp>
        <v>0</v>
        <stp/>
        <stp>RTM2C53</stp>
        <stp>COST</stp>
        <tr r="J20" s="1"/>
      </tp>
      <tp>
        <v>0</v>
        <stp/>
        <stp>RTM1P50</stp>
        <stp>COST</stp>
        <tr r="K7" s="1"/>
      </tp>
      <tp>
        <v>0</v>
        <stp/>
        <stp>RTM1C50</stp>
        <stp>COST</stp>
        <tr r="J7" s="1"/>
      </tp>
      <tp>
        <v>0</v>
        <stp/>
        <stp>RTM2P50</stp>
        <stp>COST</stp>
        <tr r="K17" s="1"/>
      </tp>
      <tp>
        <v>0</v>
        <stp/>
        <stp>RTM2C50</stp>
        <stp>COST</stp>
        <tr r="J17" s="1"/>
      </tp>
      <tp>
        <v>0</v>
        <stp/>
        <stp>RTM1P51</stp>
        <stp>COST</stp>
        <tr r="K8" s="1"/>
      </tp>
      <tp>
        <v>0</v>
        <stp/>
        <stp>RTM1C51</stp>
        <stp>COST</stp>
        <tr r="J8" s="1"/>
      </tp>
      <tp>
        <v>0</v>
        <stp/>
        <stp>RTM2P51</stp>
        <stp>COST</stp>
        <tr r="K18" s="1"/>
      </tp>
      <tp>
        <v>0</v>
        <stp/>
        <stp>RTM2C51</stp>
        <stp>COST</stp>
        <tr r="J18" s="1"/>
      </tp>
      <tp>
        <v>0</v>
        <stp/>
        <stp>RTM1P54</stp>
        <stp>COST</stp>
        <tr r="K11" s="1"/>
      </tp>
      <tp>
        <v>0</v>
        <stp/>
        <stp>RTM1C54</stp>
        <stp>COST</stp>
        <tr r="J11" s="1"/>
      </tp>
      <tp>
        <v>0</v>
        <stp/>
        <stp>RTM2P54</stp>
        <stp>COST</stp>
        <tr r="K21" s="1"/>
      </tp>
      <tp>
        <v>0</v>
        <stp/>
        <stp>RTM2C54</stp>
        <stp>COST</stp>
        <tr r="J21" s="1"/>
      </tp>
      <tp>
        <v>0</v>
        <stp/>
        <stp>RTM1P46</stp>
        <stp>COST</stp>
        <tr r="K3" s="1"/>
      </tp>
      <tp>
        <v>0</v>
        <stp/>
        <stp>RTM1C46</stp>
        <stp>COST</stp>
        <tr r="J3" s="1"/>
      </tp>
      <tp>
        <v>0</v>
        <stp/>
        <stp>RTM2P46</stp>
        <stp>COST</stp>
        <tr r="K13" s="1"/>
      </tp>
      <tp>
        <v>0</v>
        <stp/>
        <stp>RTM2C46</stp>
        <stp>COST</stp>
        <tr r="J13" s="1"/>
      </tp>
      <tp>
        <v>0</v>
        <stp/>
        <stp>RTM1P47</stp>
        <stp>COST</stp>
        <tr r="K4" s="1"/>
      </tp>
      <tp>
        <v>0</v>
        <stp/>
        <stp>RTM1C47</stp>
        <stp>COST</stp>
        <tr r="J4" s="1"/>
      </tp>
      <tp>
        <v>0</v>
        <stp/>
        <stp>RTM2P47</stp>
        <stp>COST</stp>
        <tr r="K14" s="1"/>
      </tp>
      <tp>
        <v>0</v>
        <stp/>
        <stp>RTM2C47</stp>
        <stp>COST</stp>
        <tr r="J14" s="1"/>
      </tp>
      <tp>
        <v>0</v>
        <stp/>
        <stp>RTM1P45</stp>
        <stp>COST</stp>
        <tr r="K2" s="1"/>
      </tp>
      <tp>
        <v>0</v>
        <stp/>
        <stp>RTM1C45</stp>
        <stp>COST</stp>
        <tr r="J2" s="1"/>
      </tp>
      <tp>
        <v>0</v>
        <stp/>
        <stp>RTM2P45</stp>
        <stp>COST</stp>
        <tr r="K12" s="1"/>
      </tp>
      <tp>
        <v>0</v>
        <stp/>
        <stp>RTM2C45</stp>
        <stp>COST</stp>
        <tr r="J12" s="1"/>
      </tp>
      <tp>
        <v>0</v>
        <stp/>
        <stp>RTM1P48</stp>
        <stp>COST</stp>
        <tr r="K5" s="1"/>
      </tp>
      <tp>
        <v>0</v>
        <stp/>
        <stp>RTM1C48</stp>
        <stp>COST</stp>
        <tr r="J5" s="1"/>
      </tp>
      <tp>
        <v>0</v>
        <stp/>
        <stp>RTM2P48</stp>
        <stp>COST</stp>
        <tr r="K15" s="1"/>
      </tp>
      <tp>
        <v>0</v>
        <stp/>
        <stp>RTM2C48</stp>
        <stp>COST</stp>
        <tr r="J15" s="1"/>
      </tp>
      <tp>
        <v>0</v>
        <stp/>
        <stp>RTM1P49</stp>
        <stp>COST</stp>
        <tr r="K6" s="1"/>
      </tp>
      <tp>
        <v>0</v>
        <stp/>
        <stp>RTM1C49</stp>
        <stp>COST</stp>
        <tr r="J6" s="1"/>
      </tp>
      <tp>
        <v>0</v>
        <stp/>
        <stp>RTM2P49</stp>
        <stp>COST</stp>
        <tr r="K16" s="1"/>
      </tp>
      <tp>
        <v>0</v>
        <stp/>
        <stp>RTM2C49</stp>
        <stp>COST</stp>
        <tr r="J16" s="1"/>
      </tp>
      <tp>
        <v>4.3600000000000003</v>
        <stp/>
        <stp>RTM1P52</stp>
        <stp>LAST</stp>
        <tr r="B18" s="13"/>
        <tr r="B18" s="12"/>
      </tp>
      <tp>
        <v>0.02</v>
        <stp/>
        <stp>RTM1C52</stp>
        <stp>LAST</stp>
        <tr r="B17" s="13"/>
        <tr r="B17" s="12"/>
      </tp>
      <tp>
        <v>3.36</v>
        <stp/>
        <stp>RTM2P52</stp>
        <stp>LAST</stp>
        <tr r="B38" s="13"/>
        <tr r="B38" s="12"/>
      </tp>
      <tp>
        <v>0.02</v>
        <stp/>
        <stp>RTM2C52</stp>
        <stp>LAST</stp>
        <tr r="B37" s="13"/>
        <tr r="B37" s="12"/>
      </tp>
      <tp>
        <v>5.36</v>
        <stp/>
        <stp>RTM1P53</stp>
        <stp>LAST</stp>
        <tr r="B20" s="12"/>
        <tr r="B20" s="13"/>
      </tp>
      <tp>
        <v>0.02</v>
        <stp/>
        <stp>RTM1C53</stp>
        <stp>LAST</stp>
        <tr r="B19" s="12"/>
        <tr r="B19" s="13"/>
      </tp>
      <tp>
        <v>4.34</v>
        <stp/>
        <stp>RTM2P53</stp>
        <stp>LAST</stp>
        <tr r="B40" s="13"/>
        <tr r="B40" s="12"/>
      </tp>
      <tp>
        <v>0.02</v>
        <stp/>
        <stp>RTM2C53</stp>
        <stp>LAST</stp>
        <tr r="B39" s="12"/>
        <tr r="B39" s="13"/>
      </tp>
      <tp>
        <v>2.36</v>
        <stp/>
        <stp>RTM1P50</stp>
        <stp>LAST</stp>
        <tr r="B14" s="13"/>
        <tr r="B14" s="12"/>
      </tp>
      <tp>
        <v>0.02</v>
        <stp/>
        <stp>RTM1C50</stp>
        <stp>LAST</stp>
        <tr r="B13" s="13"/>
        <tr r="B13" s="12"/>
      </tp>
      <tp>
        <v>1.57</v>
        <stp/>
        <stp>RTM2P50</stp>
        <stp>LAST</stp>
        <tr r="B34" s="13"/>
        <tr r="B34" s="12"/>
      </tp>
      <tp>
        <v>0.23</v>
        <stp/>
        <stp>RTM2C50</stp>
        <stp>LAST</stp>
        <tr r="B33" s="13"/>
        <tr r="B33" s="12"/>
      </tp>
      <tp>
        <v>3.36</v>
        <stp/>
        <stp>RTM1P51</stp>
        <stp>LAST</stp>
        <tr r="B16" s="12"/>
        <tr r="B16" s="13"/>
      </tp>
      <tp>
        <v>0.02</v>
        <stp/>
        <stp>RTM1C51</stp>
        <stp>LAST</stp>
        <tr r="B15" s="12"/>
        <tr r="B15" s="13"/>
      </tp>
      <tp>
        <v>2.42</v>
        <stp/>
        <stp>RTM2P51</stp>
        <stp>LAST</stp>
        <tr r="B36" s="13"/>
        <tr r="B36" s="12"/>
      </tp>
      <tp>
        <v>0.08</v>
        <stp/>
        <stp>RTM2C51</stp>
        <stp>LAST</stp>
        <tr r="B35" s="12"/>
        <tr r="B35" s="13"/>
      </tp>
      <tp>
        <v>6.36</v>
        <stp/>
        <stp>RTM1P54</stp>
        <stp>LAST</stp>
        <tr r="B22" s="13"/>
        <tr r="B22" s="12"/>
      </tp>
      <tp>
        <v>0.02</v>
        <stp/>
        <stp>RTM1C54</stp>
        <stp>LAST</stp>
        <tr r="B21" s="13"/>
        <tr r="B21" s="12"/>
      </tp>
      <tp>
        <v>5.34</v>
        <stp/>
        <stp>RTM2P54</stp>
        <stp>LAST</stp>
        <tr r="B42" s="13"/>
        <tr r="B42" s="12"/>
      </tp>
      <tp>
        <v>0.02</v>
        <stp/>
        <stp>RTM2C54</stp>
        <stp>LAST</stp>
        <tr r="B41" s="13"/>
        <tr r="B41" s="12"/>
      </tp>
      <tp>
        <v>0.02</v>
        <stp/>
        <stp>RTM1P46</stp>
        <stp>LAST</stp>
        <tr r="B6" s="13"/>
        <tr r="B6" s="12"/>
      </tp>
      <tp>
        <v>1.64</v>
        <stp/>
        <stp>RTM1C46</stp>
        <stp>LAST</stp>
        <tr r="B5" s="13"/>
        <tr r="B5" s="12"/>
      </tp>
      <tp>
        <v>0.04</v>
        <stp/>
        <stp>RTM2P46</stp>
        <stp>LAST</stp>
        <tr r="B26" s="13"/>
        <tr r="B26" s="12"/>
      </tp>
      <tp>
        <v>2.7</v>
        <stp/>
        <stp>RTM2C46</stp>
        <stp>LAST</stp>
        <tr r="B25" s="13"/>
        <tr r="B25" s="12"/>
      </tp>
      <tp>
        <v>0.02</v>
        <stp/>
        <stp>RTM1P47</stp>
        <stp>LAST</stp>
        <tr r="B8" s="13"/>
        <tr r="B8" s="12"/>
      </tp>
      <tp>
        <v>0.64</v>
        <stp/>
        <stp>RTM1C47</stp>
        <stp>LAST</stp>
        <tr r="B7" s="12"/>
        <tr r="B7" s="13"/>
      </tp>
      <tp>
        <v>0.15</v>
        <stp/>
        <stp>RTM2P47</stp>
        <stp>LAST</stp>
        <tr r="B28" s="13"/>
        <tr r="B28" s="12"/>
      </tp>
      <tp>
        <v>1.81</v>
        <stp/>
        <stp>RTM2C47</stp>
        <stp>LAST</stp>
        <tr r="B27" s="12"/>
        <tr r="B27" s="13"/>
      </tp>
      <tp>
        <v>0.02</v>
        <stp/>
        <stp>RTM1P45</stp>
        <stp>LAST</stp>
        <tr r="B4" s="13"/>
        <tr r="B4" s="12"/>
      </tp>
      <tp>
        <v>2.64</v>
        <stp/>
        <stp>RTM1C45</stp>
        <stp>LAST</stp>
        <tr r="B3" s="12"/>
        <tr r="B3" s="13"/>
      </tp>
      <tp>
        <v>0.02</v>
        <stp/>
        <stp>RTM2P45</stp>
        <stp>LAST</stp>
        <tr r="B24" s="13"/>
        <tr r="B24" s="12"/>
      </tp>
      <tp>
        <v>3.67</v>
        <stp/>
        <stp>RTM2C45</stp>
        <stp>LAST</stp>
        <tr r="B23" s="12"/>
        <tr r="B23" s="13"/>
      </tp>
      <tp>
        <v>0.36</v>
        <stp/>
        <stp>RTM1P48</stp>
        <stp>LAST</stp>
        <tr r="B10" s="13"/>
        <tr r="B10" s="12"/>
      </tp>
      <tp>
        <v>0.02</v>
        <stp/>
        <stp>RTM1C48</stp>
        <stp>LAST</stp>
        <tr r="B9" s="13"/>
        <tr r="B9" s="12"/>
      </tp>
      <tp>
        <v>0.41</v>
        <stp/>
        <stp>RTM2P48</stp>
        <stp>LAST</stp>
        <tr r="B30" s="13"/>
        <tr r="B30" s="12"/>
      </tp>
      <tp>
        <v>1.07</v>
        <stp/>
        <stp>RTM2C48</stp>
        <stp>LAST</stp>
        <tr r="B29" s="13"/>
        <tr r="B29" s="12"/>
      </tp>
      <tp>
        <v>1.36</v>
        <stp/>
        <stp>RTM1P49</stp>
        <stp>LAST</stp>
        <tr r="B12" s="12"/>
        <tr r="B12" s="13"/>
      </tp>
      <tp>
        <v>0.02</v>
        <stp/>
        <stp>RTM1C49</stp>
        <stp>LAST</stp>
        <tr r="B11" s="12"/>
        <tr r="B11" s="13"/>
      </tp>
      <tp>
        <v>0.88</v>
        <stp/>
        <stp>RTM2P49</stp>
        <stp>LAST</stp>
        <tr r="B32" s="12"/>
        <tr r="B32" s="13"/>
      </tp>
      <tp>
        <v>0.54</v>
        <stp/>
        <stp>RTM2C49</stp>
        <stp>LAST</stp>
        <tr r="B31" s="12"/>
        <tr r="B31" s="1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</xdr:row>
          <xdr:rowOff>14288</xdr:rowOff>
        </xdr:from>
        <xdr:to>
          <xdr:col>24</xdr:col>
          <xdr:colOff>590550</xdr:colOff>
          <xdr:row>1</xdr:row>
          <xdr:rowOff>304800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2</xdr:row>
          <xdr:rowOff>14288</xdr:rowOff>
        </xdr:from>
        <xdr:to>
          <xdr:col>24</xdr:col>
          <xdr:colOff>590550</xdr:colOff>
          <xdr:row>2</xdr:row>
          <xdr:rowOff>304800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3</xdr:row>
          <xdr:rowOff>14288</xdr:rowOff>
        </xdr:from>
        <xdr:to>
          <xdr:col>24</xdr:col>
          <xdr:colOff>590550</xdr:colOff>
          <xdr:row>3</xdr:row>
          <xdr:rowOff>304800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4</xdr:row>
          <xdr:rowOff>14288</xdr:rowOff>
        </xdr:from>
        <xdr:to>
          <xdr:col>24</xdr:col>
          <xdr:colOff>590550</xdr:colOff>
          <xdr:row>4</xdr:row>
          <xdr:rowOff>304800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5</xdr:row>
          <xdr:rowOff>14288</xdr:rowOff>
        </xdr:from>
        <xdr:to>
          <xdr:col>24</xdr:col>
          <xdr:colOff>590550</xdr:colOff>
          <xdr:row>5</xdr:row>
          <xdr:rowOff>304800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6</xdr:row>
          <xdr:rowOff>14288</xdr:rowOff>
        </xdr:from>
        <xdr:to>
          <xdr:col>24</xdr:col>
          <xdr:colOff>590550</xdr:colOff>
          <xdr:row>6</xdr:row>
          <xdr:rowOff>304800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7</xdr:row>
          <xdr:rowOff>14288</xdr:rowOff>
        </xdr:from>
        <xdr:to>
          <xdr:col>24</xdr:col>
          <xdr:colOff>590550</xdr:colOff>
          <xdr:row>7</xdr:row>
          <xdr:rowOff>304800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8</xdr:row>
          <xdr:rowOff>14288</xdr:rowOff>
        </xdr:from>
        <xdr:to>
          <xdr:col>24</xdr:col>
          <xdr:colOff>590550</xdr:colOff>
          <xdr:row>8</xdr:row>
          <xdr:rowOff>304800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9</xdr:row>
          <xdr:rowOff>14288</xdr:rowOff>
        </xdr:from>
        <xdr:to>
          <xdr:col>24</xdr:col>
          <xdr:colOff>590550</xdr:colOff>
          <xdr:row>9</xdr:row>
          <xdr:rowOff>304800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10</xdr:row>
          <xdr:rowOff>14288</xdr:rowOff>
        </xdr:from>
        <xdr:to>
          <xdr:col>24</xdr:col>
          <xdr:colOff>590550</xdr:colOff>
          <xdr:row>10</xdr:row>
          <xdr:rowOff>304800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11</xdr:row>
          <xdr:rowOff>14288</xdr:rowOff>
        </xdr:from>
        <xdr:to>
          <xdr:col>24</xdr:col>
          <xdr:colOff>590550</xdr:colOff>
          <xdr:row>11</xdr:row>
          <xdr:rowOff>304800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12</xdr:row>
          <xdr:rowOff>14288</xdr:rowOff>
        </xdr:from>
        <xdr:to>
          <xdr:col>24</xdr:col>
          <xdr:colOff>590550</xdr:colOff>
          <xdr:row>12</xdr:row>
          <xdr:rowOff>304800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13</xdr:row>
          <xdr:rowOff>14288</xdr:rowOff>
        </xdr:from>
        <xdr:to>
          <xdr:col>24</xdr:col>
          <xdr:colOff>590550</xdr:colOff>
          <xdr:row>13</xdr:row>
          <xdr:rowOff>304800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14</xdr:row>
          <xdr:rowOff>14288</xdr:rowOff>
        </xdr:from>
        <xdr:to>
          <xdr:col>24</xdr:col>
          <xdr:colOff>590550</xdr:colOff>
          <xdr:row>14</xdr:row>
          <xdr:rowOff>304800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15</xdr:row>
          <xdr:rowOff>14288</xdr:rowOff>
        </xdr:from>
        <xdr:to>
          <xdr:col>24</xdr:col>
          <xdr:colOff>590550</xdr:colOff>
          <xdr:row>15</xdr:row>
          <xdr:rowOff>304800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16</xdr:row>
          <xdr:rowOff>14288</xdr:rowOff>
        </xdr:from>
        <xdr:to>
          <xdr:col>24</xdr:col>
          <xdr:colOff>590550</xdr:colOff>
          <xdr:row>16</xdr:row>
          <xdr:rowOff>304800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17</xdr:row>
          <xdr:rowOff>14288</xdr:rowOff>
        </xdr:from>
        <xdr:to>
          <xdr:col>24</xdr:col>
          <xdr:colOff>590550</xdr:colOff>
          <xdr:row>17</xdr:row>
          <xdr:rowOff>304800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18</xdr:row>
          <xdr:rowOff>14288</xdr:rowOff>
        </xdr:from>
        <xdr:to>
          <xdr:col>24</xdr:col>
          <xdr:colOff>590550</xdr:colOff>
          <xdr:row>18</xdr:row>
          <xdr:rowOff>228600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19</xdr:row>
          <xdr:rowOff>14288</xdr:rowOff>
        </xdr:from>
        <xdr:to>
          <xdr:col>24</xdr:col>
          <xdr:colOff>590550</xdr:colOff>
          <xdr:row>19</xdr:row>
          <xdr:rowOff>304800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20</xdr:row>
          <xdr:rowOff>14288</xdr:rowOff>
        </xdr:from>
        <xdr:to>
          <xdr:col>24</xdr:col>
          <xdr:colOff>590550</xdr:colOff>
          <xdr:row>20</xdr:row>
          <xdr:rowOff>304800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414338</xdr:colOff>
          <xdr:row>21</xdr:row>
          <xdr:rowOff>85725</xdr:rowOff>
        </xdr:from>
        <xdr:to>
          <xdr:col>18</xdr:col>
          <xdr:colOff>185738</xdr:colOff>
          <xdr:row>24</xdr:row>
          <xdr:rowOff>176213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Position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</xdr:row>
          <xdr:rowOff>14288</xdr:rowOff>
        </xdr:from>
        <xdr:to>
          <xdr:col>25</xdr:col>
          <xdr:colOff>590550</xdr:colOff>
          <xdr:row>1</xdr:row>
          <xdr:rowOff>304800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2</xdr:row>
          <xdr:rowOff>14288</xdr:rowOff>
        </xdr:from>
        <xdr:to>
          <xdr:col>25</xdr:col>
          <xdr:colOff>590550</xdr:colOff>
          <xdr:row>2</xdr:row>
          <xdr:rowOff>304800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3</xdr:row>
          <xdr:rowOff>14288</xdr:rowOff>
        </xdr:from>
        <xdr:to>
          <xdr:col>25</xdr:col>
          <xdr:colOff>590550</xdr:colOff>
          <xdr:row>3</xdr:row>
          <xdr:rowOff>304800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4</xdr:row>
          <xdr:rowOff>14288</xdr:rowOff>
        </xdr:from>
        <xdr:to>
          <xdr:col>25</xdr:col>
          <xdr:colOff>590550</xdr:colOff>
          <xdr:row>4</xdr:row>
          <xdr:rowOff>304800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5</xdr:row>
          <xdr:rowOff>14288</xdr:rowOff>
        </xdr:from>
        <xdr:to>
          <xdr:col>25</xdr:col>
          <xdr:colOff>590550</xdr:colOff>
          <xdr:row>5</xdr:row>
          <xdr:rowOff>228600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6</xdr:row>
          <xdr:rowOff>14288</xdr:rowOff>
        </xdr:from>
        <xdr:to>
          <xdr:col>25</xdr:col>
          <xdr:colOff>590550</xdr:colOff>
          <xdr:row>6</xdr:row>
          <xdr:rowOff>228600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7</xdr:row>
          <xdr:rowOff>14288</xdr:rowOff>
        </xdr:from>
        <xdr:to>
          <xdr:col>25</xdr:col>
          <xdr:colOff>590550</xdr:colOff>
          <xdr:row>7</xdr:row>
          <xdr:rowOff>304800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8</xdr:row>
          <xdr:rowOff>14288</xdr:rowOff>
        </xdr:from>
        <xdr:to>
          <xdr:col>25</xdr:col>
          <xdr:colOff>590550</xdr:colOff>
          <xdr:row>8</xdr:row>
          <xdr:rowOff>304800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9</xdr:row>
          <xdr:rowOff>14288</xdr:rowOff>
        </xdr:from>
        <xdr:to>
          <xdr:col>25</xdr:col>
          <xdr:colOff>590550</xdr:colOff>
          <xdr:row>9</xdr:row>
          <xdr:rowOff>304800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10</xdr:row>
          <xdr:rowOff>14288</xdr:rowOff>
        </xdr:from>
        <xdr:to>
          <xdr:col>25</xdr:col>
          <xdr:colOff>590550</xdr:colOff>
          <xdr:row>10</xdr:row>
          <xdr:rowOff>304800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11</xdr:row>
          <xdr:rowOff>14288</xdr:rowOff>
        </xdr:from>
        <xdr:to>
          <xdr:col>25</xdr:col>
          <xdr:colOff>590550</xdr:colOff>
          <xdr:row>11</xdr:row>
          <xdr:rowOff>304800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12</xdr:row>
          <xdr:rowOff>14288</xdr:rowOff>
        </xdr:from>
        <xdr:to>
          <xdr:col>25</xdr:col>
          <xdr:colOff>590550</xdr:colOff>
          <xdr:row>12</xdr:row>
          <xdr:rowOff>304800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13</xdr:row>
          <xdr:rowOff>14288</xdr:rowOff>
        </xdr:from>
        <xdr:to>
          <xdr:col>25</xdr:col>
          <xdr:colOff>590550</xdr:colOff>
          <xdr:row>13</xdr:row>
          <xdr:rowOff>304800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14</xdr:row>
          <xdr:rowOff>14288</xdr:rowOff>
        </xdr:from>
        <xdr:to>
          <xdr:col>25</xdr:col>
          <xdr:colOff>590550</xdr:colOff>
          <xdr:row>14</xdr:row>
          <xdr:rowOff>304800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15</xdr:row>
          <xdr:rowOff>14288</xdr:rowOff>
        </xdr:from>
        <xdr:to>
          <xdr:col>25</xdr:col>
          <xdr:colOff>590550</xdr:colOff>
          <xdr:row>15</xdr:row>
          <xdr:rowOff>304800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16</xdr:row>
          <xdr:rowOff>14288</xdr:rowOff>
        </xdr:from>
        <xdr:to>
          <xdr:col>25</xdr:col>
          <xdr:colOff>590550</xdr:colOff>
          <xdr:row>16</xdr:row>
          <xdr:rowOff>304800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17</xdr:row>
          <xdr:rowOff>14288</xdr:rowOff>
        </xdr:from>
        <xdr:to>
          <xdr:col>25</xdr:col>
          <xdr:colOff>590550</xdr:colOff>
          <xdr:row>17</xdr:row>
          <xdr:rowOff>304800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18</xdr:row>
          <xdr:rowOff>14288</xdr:rowOff>
        </xdr:from>
        <xdr:to>
          <xdr:col>25</xdr:col>
          <xdr:colOff>590550</xdr:colOff>
          <xdr:row>18</xdr:row>
          <xdr:rowOff>304800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19</xdr:row>
          <xdr:rowOff>14288</xdr:rowOff>
        </xdr:from>
        <xdr:to>
          <xdr:col>25</xdr:col>
          <xdr:colOff>590550</xdr:colOff>
          <xdr:row>19</xdr:row>
          <xdr:rowOff>304800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20</xdr:row>
          <xdr:rowOff>14288</xdr:rowOff>
        </xdr:from>
        <xdr:to>
          <xdr:col>25</xdr:col>
          <xdr:colOff>590550</xdr:colOff>
          <xdr:row>20</xdr:row>
          <xdr:rowOff>304800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27</xdr:row>
          <xdr:rowOff>90488</xdr:rowOff>
        </xdr:from>
        <xdr:to>
          <xdr:col>1</xdr:col>
          <xdr:colOff>504825</xdr:colOff>
          <xdr:row>28</xdr:row>
          <xdr:rowOff>161925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Calendar Spread at 50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14288</xdr:colOff>
          <xdr:row>30</xdr:row>
          <xdr:rowOff>152400</xdr:rowOff>
        </xdr:from>
        <xdr:to>
          <xdr:col>1</xdr:col>
          <xdr:colOff>566738</xdr:colOff>
          <xdr:row>32</xdr:row>
          <xdr:rowOff>133350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Calendar Spread at 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27</xdr:row>
          <xdr:rowOff>90488</xdr:rowOff>
        </xdr:from>
        <xdr:to>
          <xdr:col>5</xdr:col>
          <xdr:colOff>76200</xdr:colOff>
          <xdr:row>28</xdr:row>
          <xdr:rowOff>161925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Calendar Spread at 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30</xdr:row>
          <xdr:rowOff>171450</xdr:rowOff>
        </xdr:from>
        <xdr:to>
          <xdr:col>4</xdr:col>
          <xdr:colOff>104775</xdr:colOff>
          <xdr:row>32</xdr:row>
          <xdr:rowOff>147638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Calendar Spread at 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23813</xdr:colOff>
          <xdr:row>27</xdr:row>
          <xdr:rowOff>57150</xdr:rowOff>
        </xdr:from>
        <xdr:to>
          <xdr:col>8</xdr:col>
          <xdr:colOff>142875</xdr:colOff>
          <xdr:row>28</xdr:row>
          <xdr:rowOff>133350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Calendar Spread at 48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61913</xdr:rowOff>
        </xdr:from>
        <xdr:to>
          <xdr:col>8</xdr:col>
          <xdr:colOff>128588</xdr:colOff>
          <xdr:row>32</xdr:row>
          <xdr:rowOff>95250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Calendar Spread at 48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6</xdr:row>
          <xdr:rowOff>119063</xdr:rowOff>
        </xdr:from>
        <xdr:to>
          <xdr:col>33</xdr:col>
          <xdr:colOff>38100</xdr:colOff>
          <xdr:row>9</xdr:row>
          <xdr:rowOff>23813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Delta Hedge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147638</xdr:colOff>
          <xdr:row>10</xdr:row>
          <xdr:rowOff>123825</xdr:rowOff>
        </xdr:from>
        <xdr:to>
          <xdr:col>33</xdr:col>
          <xdr:colOff>185738</xdr:colOff>
          <xdr:row>11</xdr:row>
          <xdr:rowOff>333375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Stock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</xdr:row>
          <xdr:rowOff>14288</xdr:rowOff>
        </xdr:from>
        <xdr:to>
          <xdr:col>14</xdr:col>
          <xdr:colOff>590550</xdr:colOff>
          <xdr:row>1</xdr:row>
          <xdr:rowOff>304800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2</xdr:row>
          <xdr:rowOff>14288</xdr:rowOff>
        </xdr:from>
        <xdr:to>
          <xdr:col>14</xdr:col>
          <xdr:colOff>590550</xdr:colOff>
          <xdr:row>2</xdr:row>
          <xdr:rowOff>304800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3</xdr:row>
          <xdr:rowOff>14288</xdr:rowOff>
        </xdr:from>
        <xdr:to>
          <xdr:col>14</xdr:col>
          <xdr:colOff>590550</xdr:colOff>
          <xdr:row>3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13</xdr:row>
          <xdr:rowOff>14288</xdr:rowOff>
        </xdr:from>
        <xdr:to>
          <xdr:col>14</xdr:col>
          <xdr:colOff>590550</xdr:colOff>
          <xdr:row>13</xdr:row>
          <xdr:rowOff>304800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4</xdr:row>
          <xdr:rowOff>14288</xdr:rowOff>
        </xdr:from>
        <xdr:to>
          <xdr:col>14</xdr:col>
          <xdr:colOff>590550</xdr:colOff>
          <xdr:row>4</xdr:row>
          <xdr:rowOff>304800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5</xdr:row>
          <xdr:rowOff>14288</xdr:rowOff>
        </xdr:from>
        <xdr:to>
          <xdr:col>14</xdr:col>
          <xdr:colOff>590550</xdr:colOff>
          <xdr:row>5</xdr:row>
          <xdr:rowOff>304800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6</xdr:row>
          <xdr:rowOff>14288</xdr:rowOff>
        </xdr:from>
        <xdr:to>
          <xdr:col>14</xdr:col>
          <xdr:colOff>590550</xdr:colOff>
          <xdr:row>6</xdr:row>
          <xdr:rowOff>304800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6F9A3F85-9F90-4D10-AEDC-CEBF70901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7</xdr:row>
          <xdr:rowOff>14288</xdr:rowOff>
        </xdr:from>
        <xdr:to>
          <xdr:col>14</xdr:col>
          <xdr:colOff>590550</xdr:colOff>
          <xdr:row>7</xdr:row>
          <xdr:rowOff>304800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B4195590-B7CD-4305-9A7E-F18D0D4D6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8</xdr:row>
          <xdr:rowOff>14288</xdr:rowOff>
        </xdr:from>
        <xdr:to>
          <xdr:col>14</xdr:col>
          <xdr:colOff>590550</xdr:colOff>
          <xdr:row>8</xdr:row>
          <xdr:rowOff>304800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63170F5C-8A6B-4451-A858-25B1A1E8C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9</xdr:row>
          <xdr:rowOff>14288</xdr:rowOff>
        </xdr:from>
        <xdr:to>
          <xdr:col>14</xdr:col>
          <xdr:colOff>590550</xdr:colOff>
          <xdr:row>9</xdr:row>
          <xdr:rowOff>304800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EB4F7EAE-1D1A-4D41-9326-E78AAE9FC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10</xdr:row>
          <xdr:rowOff>14288</xdr:rowOff>
        </xdr:from>
        <xdr:to>
          <xdr:col>14</xdr:col>
          <xdr:colOff>590550</xdr:colOff>
          <xdr:row>10</xdr:row>
          <xdr:rowOff>304800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DE79340E-BAD1-43B1-BE62-84913CF1C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11</xdr:row>
          <xdr:rowOff>14288</xdr:rowOff>
        </xdr:from>
        <xdr:to>
          <xdr:col>14</xdr:col>
          <xdr:colOff>590550</xdr:colOff>
          <xdr:row>11</xdr:row>
          <xdr:rowOff>304800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FA2A4BAC-F9AC-449E-8441-D4A70C5F8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12</xdr:row>
          <xdr:rowOff>14288</xdr:rowOff>
        </xdr:from>
        <xdr:to>
          <xdr:col>14</xdr:col>
          <xdr:colOff>590550</xdr:colOff>
          <xdr:row>12</xdr:row>
          <xdr:rowOff>304800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8988CB10-056B-469D-9B90-D54521F10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14</xdr:row>
          <xdr:rowOff>14288</xdr:rowOff>
        </xdr:from>
        <xdr:to>
          <xdr:col>14</xdr:col>
          <xdr:colOff>590550</xdr:colOff>
          <xdr:row>14</xdr:row>
          <xdr:rowOff>304800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266FF64-B592-40A6-9CAB-20F2824CF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15</xdr:row>
          <xdr:rowOff>14288</xdr:rowOff>
        </xdr:from>
        <xdr:to>
          <xdr:col>14</xdr:col>
          <xdr:colOff>590550</xdr:colOff>
          <xdr:row>15</xdr:row>
          <xdr:rowOff>304800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B2C39A42-1DAC-43B7-ABE0-F33EE1ACC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16</xdr:row>
          <xdr:rowOff>14288</xdr:rowOff>
        </xdr:from>
        <xdr:to>
          <xdr:col>14</xdr:col>
          <xdr:colOff>590550</xdr:colOff>
          <xdr:row>16</xdr:row>
          <xdr:rowOff>304800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C7195F9C-0177-40D7-80DF-978B351B8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17</xdr:row>
          <xdr:rowOff>14288</xdr:rowOff>
        </xdr:from>
        <xdr:to>
          <xdr:col>14</xdr:col>
          <xdr:colOff>590550</xdr:colOff>
          <xdr:row>17</xdr:row>
          <xdr:rowOff>304800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E68664D7-C735-4095-A554-D4087AF2C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18</xdr:row>
          <xdr:rowOff>14288</xdr:rowOff>
        </xdr:from>
        <xdr:to>
          <xdr:col>14</xdr:col>
          <xdr:colOff>590550</xdr:colOff>
          <xdr:row>18</xdr:row>
          <xdr:rowOff>304800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8411BA1B-2AC9-4E14-9C9B-FA27A757A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19</xdr:row>
          <xdr:rowOff>14288</xdr:rowOff>
        </xdr:from>
        <xdr:to>
          <xdr:col>14</xdr:col>
          <xdr:colOff>590550</xdr:colOff>
          <xdr:row>19</xdr:row>
          <xdr:rowOff>304800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546AE2DC-0CB4-412B-A734-253CC879A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20</xdr:row>
          <xdr:rowOff>14288</xdr:rowOff>
        </xdr:from>
        <xdr:to>
          <xdr:col>14</xdr:col>
          <xdr:colOff>590550</xdr:colOff>
          <xdr:row>20</xdr:row>
          <xdr:rowOff>304800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C523B09B-68EB-4B86-A804-9DA1689C2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</xdr:row>
          <xdr:rowOff>14288</xdr:rowOff>
        </xdr:from>
        <xdr:ext cx="514350" cy="285750"/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2DDC7C98-8322-4AFD-96CA-046D4E96D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2</xdr:row>
          <xdr:rowOff>14288</xdr:rowOff>
        </xdr:from>
        <xdr:ext cx="514350" cy="285750"/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340FF3FF-0904-460E-8AC0-B5E708BA9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3</xdr:row>
          <xdr:rowOff>14288</xdr:rowOff>
        </xdr:from>
        <xdr:ext cx="514350" cy="285750"/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2DE04312-EAA3-487D-A916-A2336948A9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4</xdr:row>
          <xdr:rowOff>14288</xdr:rowOff>
        </xdr:from>
        <xdr:ext cx="514350" cy="285750"/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50686BA6-B47B-4B05-9A62-3BEEDF623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76200</xdr:colOff>
          <xdr:row>5</xdr:row>
          <xdr:rowOff>19049</xdr:rowOff>
        </xdr:from>
        <xdr:ext cx="514350" cy="266701"/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7232FD33-3F8B-4792-BDA2-FC1E08ECC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76200</xdr:colOff>
          <xdr:row>6</xdr:row>
          <xdr:rowOff>19050</xdr:rowOff>
        </xdr:from>
        <xdr:ext cx="514350" cy="266700"/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F1016869-7F27-42C7-919E-BFFF4F3FA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7</xdr:row>
          <xdr:rowOff>14288</xdr:rowOff>
        </xdr:from>
        <xdr:ext cx="514350" cy="285750"/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F4C82435-FA4D-4440-A48C-DCB78823D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8</xdr:row>
          <xdr:rowOff>14288</xdr:rowOff>
        </xdr:from>
        <xdr:ext cx="514350" cy="285750"/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5E5A257B-198A-4AF6-800D-4FD3F3D00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9</xdr:row>
          <xdr:rowOff>14288</xdr:rowOff>
        </xdr:from>
        <xdr:ext cx="514350" cy="285750"/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40284AF-D553-4367-A68B-50004ECF0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10</xdr:row>
          <xdr:rowOff>14288</xdr:rowOff>
        </xdr:from>
        <xdr:ext cx="514350" cy="285750"/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4904D6E0-6E6C-474C-B10F-2B9066132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11</xdr:row>
          <xdr:rowOff>14288</xdr:rowOff>
        </xdr:from>
        <xdr:ext cx="514350" cy="285750"/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2D5DF9A3-D790-453E-83CD-7425B0D9F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12</xdr:row>
          <xdr:rowOff>14288</xdr:rowOff>
        </xdr:from>
        <xdr:ext cx="514350" cy="285750"/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5D274DCC-76FC-40C3-8471-8DD10AB80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13</xdr:row>
          <xdr:rowOff>14288</xdr:rowOff>
        </xdr:from>
        <xdr:ext cx="514350" cy="285750"/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602FC62C-A8BF-4CD6-8E1F-FBDE3ADEC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14</xdr:row>
          <xdr:rowOff>14288</xdr:rowOff>
        </xdr:from>
        <xdr:ext cx="514350" cy="285750"/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439C87CE-2A7C-46B8-9D8B-1F816DC73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15</xdr:row>
          <xdr:rowOff>14288</xdr:rowOff>
        </xdr:from>
        <xdr:ext cx="514350" cy="285750"/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D0792121-B755-4838-B05D-AB4F2C4A1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16</xdr:row>
          <xdr:rowOff>14288</xdr:rowOff>
        </xdr:from>
        <xdr:ext cx="514350" cy="285750"/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B564DD05-5D2D-4CB6-957D-986D7B35D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17</xdr:row>
          <xdr:rowOff>14288</xdr:rowOff>
        </xdr:from>
        <xdr:ext cx="514350" cy="285750"/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8982BDF6-2D66-4CDF-877B-FF9330EA8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18</xdr:row>
          <xdr:rowOff>14288</xdr:rowOff>
        </xdr:from>
        <xdr:ext cx="514350" cy="285750"/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7D766AE8-E18A-4F61-9F53-88255582A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19</xdr:row>
          <xdr:rowOff>14288</xdr:rowOff>
        </xdr:from>
        <xdr:ext cx="514350" cy="285750"/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2B96D958-3108-4269-9E57-54F03654E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71438</xdr:colOff>
          <xdr:row>20</xdr:row>
          <xdr:rowOff>14288</xdr:rowOff>
        </xdr:from>
        <xdr:ext cx="514350" cy="285750"/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7BAB28EF-B835-4883-AAAB-4523C796D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A239B-BBE3-40A0-9A83-99F38C045288}">
  <sheetPr codeName="Sheet1"/>
  <dimension ref="A1:AD28"/>
  <sheetViews>
    <sheetView tabSelected="1" zoomScale="70" zoomScaleNormal="70" workbookViewId="0">
      <selection activeCell="AE18" sqref="AE18"/>
    </sheetView>
  </sheetViews>
  <sheetFormatPr defaultColWidth="8.796875" defaultRowHeight="15.75"/>
  <cols>
    <col min="1" max="1" width="21.6640625" style="4" bestFit="1" customWidth="1"/>
    <col min="2" max="2" width="17.6640625" style="4" customWidth="1"/>
    <col min="3" max="3" width="9.6640625" style="4" bestFit="1" customWidth="1"/>
    <col min="4" max="11" width="8.796875" style="4"/>
    <col min="12" max="12" width="8.1328125" style="4" customWidth="1"/>
    <col min="13" max="20" width="8.796875" style="4"/>
    <col min="21" max="21" width="8.796875" style="4" customWidth="1"/>
    <col min="22" max="26" width="8.796875" style="4"/>
    <col min="27" max="27" width="15.19921875" style="4" bestFit="1" customWidth="1"/>
    <col min="28" max="16384" width="8.796875" style="4"/>
  </cols>
  <sheetData>
    <row r="1" spans="1:30" ht="20" customHeight="1">
      <c r="A1" s="4" t="s">
        <v>1</v>
      </c>
      <c r="B1" s="5">
        <f>RTD("rit2.rtd",,"PL")</f>
        <v>5515.78</v>
      </c>
      <c r="D1" s="4" t="s">
        <v>6</v>
      </c>
      <c r="E1" s="4" t="s">
        <v>75</v>
      </c>
      <c r="F1" s="4" t="s">
        <v>60</v>
      </c>
      <c r="G1" s="4" t="s">
        <v>72</v>
      </c>
      <c r="H1" s="4" t="s">
        <v>71</v>
      </c>
      <c r="I1" s="4" t="s">
        <v>73</v>
      </c>
      <c r="J1" s="4" t="s">
        <v>81</v>
      </c>
      <c r="K1" s="4" t="s">
        <v>82</v>
      </c>
      <c r="L1" s="4" t="s">
        <v>79</v>
      </c>
      <c r="M1" s="4" t="s">
        <v>80</v>
      </c>
      <c r="N1" s="4" t="s">
        <v>83</v>
      </c>
      <c r="R1" s="4" t="s">
        <v>6</v>
      </c>
      <c r="S1" s="4" t="s">
        <v>75</v>
      </c>
      <c r="T1" s="4" t="s">
        <v>60</v>
      </c>
      <c r="U1" s="4" t="s">
        <v>72</v>
      </c>
      <c r="V1" s="4" t="s">
        <v>71</v>
      </c>
      <c r="W1" s="4" t="s">
        <v>73</v>
      </c>
      <c r="X1" s="4" t="s">
        <v>74</v>
      </c>
      <c r="AA1" s="4" t="s">
        <v>76</v>
      </c>
      <c r="AB1" s="4" t="s">
        <v>77</v>
      </c>
    </row>
    <row r="2" spans="1:30" ht="30" customHeight="1">
      <c r="A2" s="4" t="s">
        <v>5</v>
      </c>
      <c r="B2" s="5">
        <v>12000</v>
      </c>
      <c r="D2" s="8"/>
      <c r="E2" s="8">
        <v>1</v>
      </c>
      <c r="F2" s="8">
        <v>45</v>
      </c>
      <c r="G2" s="8">
        <f>U2</f>
        <v>2.64</v>
      </c>
      <c r="H2" s="8">
        <f>V2</f>
        <v>0.02</v>
      </c>
      <c r="I2" s="8">
        <f>Delta!$B$2</f>
        <v>48.66</v>
      </c>
      <c r="J2" s="8">
        <f>RTD("rit2.rtd",,"RTM" &amp; E2 &amp; "C" &amp; F2,"COST")</f>
        <v>0</v>
      </c>
      <c r="K2" s="8">
        <f>RTD("rit2.rtd",,"RTM" &amp; E2 &amp; "P" &amp; F2,"COST")</f>
        <v>0</v>
      </c>
      <c r="L2" s="8">
        <f>IV!G3</f>
        <v>0</v>
      </c>
      <c r="M2" s="8">
        <f>IV!G4</f>
        <v>0</v>
      </c>
      <c r="N2" s="8" t="str">
        <f>IF(E2=$B$5, 100 * D2 * (G2+H2-J2-K2-0.08), "-")</f>
        <v>-</v>
      </c>
      <c r="O2" s="8"/>
      <c r="P2" s="8"/>
      <c r="R2" s="8"/>
      <c r="S2" s="8">
        <v>1</v>
      </c>
      <c r="T2" s="8">
        <v>45</v>
      </c>
      <c r="U2" s="8">
        <f>Delta!B3</f>
        <v>2.64</v>
      </c>
      <c r="V2" s="8">
        <f>Delta!B4</f>
        <v>0.02</v>
      </c>
      <c r="W2" s="8">
        <f>Delta!$B$2</f>
        <v>48.66</v>
      </c>
      <c r="X2" s="8" t="str">
        <f>IF(Strategies!$B$5=S2, T2+U2-V2-W2, "-")</f>
        <v>-</v>
      </c>
      <c r="Y2" s="8"/>
      <c r="Z2" s="8"/>
      <c r="AA2" s="4">
        <v>0.1</v>
      </c>
      <c r="AB2" s="4">
        <v>0.14000000000000001</v>
      </c>
    </row>
    <row r="3" spans="1:30" ht="30" customHeight="1">
      <c r="A3" s="4" t="s">
        <v>0</v>
      </c>
      <c r="B3" s="5">
        <f>RTD("rit2.rtd",,"rtm","BID")</f>
        <v>48.65</v>
      </c>
      <c r="D3" s="8"/>
      <c r="E3" s="8">
        <v>1</v>
      </c>
      <c r="F3" s="8">
        <v>46</v>
      </c>
      <c r="G3" s="8">
        <f>U3</f>
        <v>1.64</v>
      </c>
      <c r="H3" s="8">
        <f t="shared" ref="H3:H21" si="0">V3</f>
        <v>2.64</v>
      </c>
      <c r="I3" s="8">
        <f>Delta!$B$2</f>
        <v>48.66</v>
      </c>
      <c r="J3" s="8">
        <f>RTD("rit2.rtd",,"RTM" &amp; E3 &amp; "C" &amp; F3,"COST")</f>
        <v>0</v>
      </c>
      <c r="K3" s="8">
        <f>RTD("rit2.rtd",,"RTM" &amp; E3 &amp; "P" &amp; F3,"COST")</f>
        <v>0</v>
      </c>
      <c r="L3" s="8">
        <f>IV!G5</f>
        <v>0</v>
      </c>
      <c r="M3" s="8">
        <f>IV!G6</f>
        <v>0</v>
      </c>
      <c r="N3" s="8" t="str">
        <f t="shared" ref="N3:N22" si="1">IF(E3=$B$5, 100 * D3 * (G3+H3-J3-K3-0.08), "-")</f>
        <v>-</v>
      </c>
      <c r="O3" s="8"/>
      <c r="P3" s="8"/>
      <c r="R3" s="8"/>
      <c r="S3" s="8">
        <v>1</v>
      </c>
      <c r="T3" s="8">
        <v>46</v>
      </c>
      <c r="U3" s="8">
        <f>Delta!B5</f>
        <v>1.64</v>
      </c>
      <c r="V3" s="8">
        <f>Delta!B3</f>
        <v>2.64</v>
      </c>
      <c r="W3" s="8">
        <f>Delta!$B$2</f>
        <v>48.66</v>
      </c>
      <c r="X3" s="8" t="str">
        <f>IF(Strategies!$B$5=S3, T3+U3-V3-W3, "-")</f>
        <v>-</v>
      </c>
      <c r="Y3" s="8"/>
      <c r="Z3" s="8"/>
    </row>
    <row r="4" spans="1:30" ht="30" customHeight="1">
      <c r="A4" s="4" t="s">
        <v>48</v>
      </c>
      <c r="B4" s="5">
        <f>300*(B5-1)+(300-RTD("rit2.rtd",,"TIMEREMAINING"))</f>
        <v>520</v>
      </c>
      <c r="D4" s="8"/>
      <c r="E4" s="8">
        <v>1</v>
      </c>
      <c r="F4" s="8">
        <v>47</v>
      </c>
      <c r="G4" s="8">
        <f t="shared" ref="G4:G21" si="2">U4</f>
        <v>0.64</v>
      </c>
      <c r="H4" s="8">
        <f t="shared" si="0"/>
        <v>0.02</v>
      </c>
      <c r="I4" s="8">
        <f>Delta!$B$2</f>
        <v>48.66</v>
      </c>
      <c r="J4" s="8">
        <f>RTD("rit2.rtd",,"RTM" &amp; E4 &amp; "C" &amp; F4,"COST")</f>
        <v>0</v>
      </c>
      <c r="K4" s="8">
        <f>RTD("rit2.rtd",,"RTM" &amp; E4 &amp; "P" &amp; F4,"COST")</f>
        <v>0</v>
      </c>
      <c r="L4" s="8">
        <f>IV!G7</f>
        <v>0</v>
      </c>
      <c r="M4" s="8">
        <f>IV!G8</f>
        <v>0</v>
      </c>
      <c r="N4" s="8" t="str">
        <f t="shared" si="1"/>
        <v>-</v>
      </c>
      <c r="O4" s="8"/>
      <c r="P4" s="8"/>
      <c r="R4" s="8"/>
      <c r="S4" s="8">
        <v>1</v>
      </c>
      <c r="T4" s="8">
        <v>47</v>
      </c>
      <c r="U4" s="8">
        <f>Delta!B7</f>
        <v>0.64</v>
      </c>
      <c r="V4" s="8">
        <f>Delta!B8</f>
        <v>0.02</v>
      </c>
      <c r="W4" s="8">
        <f>Delta!$B$2</f>
        <v>48.66</v>
      </c>
      <c r="X4" s="8" t="str">
        <f>IF(Strategies!$B$5=S4, T4+U4-V4-W4, "-")</f>
        <v>-</v>
      </c>
      <c r="Y4" s="8"/>
      <c r="Z4" s="8"/>
    </row>
    <row r="5" spans="1:30" ht="30" customHeight="1">
      <c r="A5" s="4" t="s">
        <v>47</v>
      </c>
      <c r="B5" s="5">
        <f>RTD("rit2.rtd",,"PERIOD")</f>
        <v>2</v>
      </c>
      <c r="D5" s="8"/>
      <c r="E5" s="8">
        <v>1</v>
      </c>
      <c r="F5" s="8">
        <v>48</v>
      </c>
      <c r="G5" s="8">
        <f t="shared" si="2"/>
        <v>0.02</v>
      </c>
      <c r="H5" s="8">
        <f t="shared" si="0"/>
        <v>0.36</v>
      </c>
      <c r="I5" s="8">
        <f>Delta!$B$2</f>
        <v>48.66</v>
      </c>
      <c r="J5" s="8">
        <f>RTD("rit2.rtd",,"RTM" &amp; E5 &amp; "C" &amp; F5,"COST")</f>
        <v>0</v>
      </c>
      <c r="K5" s="8">
        <f>RTD("rit2.rtd",,"RTM" &amp; E5 &amp; "P" &amp; F5,"COST")</f>
        <v>0</v>
      </c>
      <c r="L5" s="8">
        <f>IV!G9</f>
        <v>0</v>
      </c>
      <c r="M5" s="8">
        <f>IV!G10</f>
        <v>0</v>
      </c>
      <c r="N5" s="8" t="str">
        <f t="shared" si="1"/>
        <v>-</v>
      </c>
      <c r="O5" s="8"/>
      <c r="P5" s="8"/>
      <c r="R5" s="8"/>
      <c r="S5" s="8">
        <v>1</v>
      </c>
      <c r="T5" s="8">
        <v>48</v>
      </c>
      <c r="U5" s="8">
        <f>Delta!B9</f>
        <v>0.02</v>
      </c>
      <c r="V5" s="8">
        <f>Delta!B10</f>
        <v>0.36</v>
      </c>
      <c r="W5" s="8">
        <f>Delta!$B$2</f>
        <v>48.66</v>
      </c>
      <c r="X5" s="8" t="str">
        <f>IF(Strategies!$B$5=S5, T5+U5-V5-W5, "-")</f>
        <v>-</v>
      </c>
      <c r="Y5" s="8"/>
      <c r="Z5" s="8"/>
    </row>
    <row r="6" spans="1:30" ht="30" customHeight="1">
      <c r="A6" s="6" t="s">
        <v>49</v>
      </c>
      <c r="B6" s="5">
        <f>IF((300-Strategies!$B$4)/3600&lt;0,0,(300-Strategies!$B$4)/3600)</f>
        <v>0</v>
      </c>
      <c r="D6" s="8">
        <v>0</v>
      </c>
      <c r="E6" s="8">
        <v>1</v>
      </c>
      <c r="F6" s="8">
        <v>49</v>
      </c>
      <c r="G6" s="8">
        <f t="shared" si="2"/>
        <v>0.02</v>
      </c>
      <c r="H6" s="8">
        <f t="shared" si="0"/>
        <v>1.36</v>
      </c>
      <c r="I6" s="8">
        <f>Delta!$B$2</f>
        <v>48.66</v>
      </c>
      <c r="J6" s="8">
        <f>RTD("rit2.rtd",,"RTM" &amp; E6 &amp; "C" &amp; F6,"COST")</f>
        <v>0</v>
      </c>
      <c r="K6" s="8">
        <f>RTD("rit2.rtd",,"RTM" &amp; E6 &amp; "P" &amp; F6,"COST")</f>
        <v>0</v>
      </c>
      <c r="L6" s="8">
        <f>IV!G11</f>
        <v>0</v>
      </c>
      <c r="M6" s="8">
        <f>IV!G12</f>
        <v>0</v>
      </c>
      <c r="N6" s="8" t="str">
        <f t="shared" si="1"/>
        <v>-</v>
      </c>
      <c r="O6" s="8"/>
      <c r="P6" s="8"/>
      <c r="R6" s="8"/>
      <c r="S6" s="8">
        <v>1</v>
      </c>
      <c r="T6" s="8">
        <v>49</v>
      </c>
      <c r="U6" s="8">
        <f>Delta!B11</f>
        <v>0.02</v>
      </c>
      <c r="V6" s="8">
        <f>Delta!B12</f>
        <v>1.36</v>
      </c>
      <c r="W6" s="8">
        <f>Delta!$B$2</f>
        <v>48.66</v>
      </c>
      <c r="X6" s="8" t="str">
        <f>IF(Strategies!$B$5=S6, T6+U6-V6-W6, "-")</f>
        <v>-</v>
      </c>
      <c r="Y6" s="8"/>
      <c r="Z6" s="8"/>
    </row>
    <row r="7" spans="1:30" ht="30" customHeight="1">
      <c r="A7" s="6" t="s">
        <v>50</v>
      </c>
      <c r="B7" s="5">
        <f>(600-Strategies!$B$4)/3600</f>
        <v>2.2222222222222223E-2</v>
      </c>
      <c r="D7" s="8"/>
      <c r="E7" s="8">
        <v>1</v>
      </c>
      <c r="F7" s="8">
        <v>50</v>
      </c>
      <c r="G7" s="8">
        <f t="shared" si="2"/>
        <v>0.02</v>
      </c>
      <c r="H7" s="8">
        <f t="shared" si="0"/>
        <v>2.36</v>
      </c>
      <c r="I7" s="8">
        <f>Delta!$B$2</f>
        <v>48.66</v>
      </c>
      <c r="J7" s="8">
        <f>RTD("rit2.rtd",,"RTM" &amp; E7 &amp; "C" &amp; F7,"COST")</f>
        <v>0</v>
      </c>
      <c r="K7" s="8">
        <f>RTD("rit2.rtd",,"RTM" &amp; E7 &amp; "P" &amp; F7,"COST")</f>
        <v>0</v>
      </c>
      <c r="L7" s="8">
        <f>IV!G13</f>
        <v>0</v>
      </c>
      <c r="M7" s="8">
        <f>IV!G14</f>
        <v>0</v>
      </c>
      <c r="N7" s="8" t="str">
        <f t="shared" si="1"/>
        <v>-</v>
      </c>
      <c r="O7" s="8"/>
      <c r="P7" s="8"/>
      <c r="R7" s="8"/>
      <c r="S7" s="8">
        <v>1</v>
      </c>
      <c r="T7" s="8">
        <v>50</v>
      </c>
      <c r="U7" s="8">
        <f>Delta!B13</f>
        <v>0.02</v>
      </c>
      <c r="V7" s="8">
        <f>Delta!B14</f>
        <v>2.36</v>
      </c>
      <c r="W7" s="8">
        <f>Delta!$B$2</f>
        <v>48.66</v>
      </c>
      <c r="X7" s="8" t="str">
        <f>IF(Strategies!$B$5=S7, T7+U7-V7-W7, "-")</f>
        <v>-</v>
      </c>
      <c r="Y7" s="8"/>
      <c r="Z7" s="8"/>
      <c r="AC7" s="4" t="s">
        <v>5</v>
      </c>
      <c r="AD7" s="4" t="s">
        <v>69</v>
      </c>
    </row>
    <row r="8" spans="1:30" ht="30" customHeight="1">
      <c r="A8" s="4" t="s">
        <v>52</v>
      </c>
      <c r="B8" s="5">
        <f>IFERROR(News!B3,0.2)</f>
        <v>0.25</v>
      </c>
      <c r="D8" s="8"/>
      <c r="E8" s="8">
        <v>1</v>
      </c>
      <c r="F8" s="8">
        <v>51</v>
      </c>
      <c r="G8" s="8">
        <f t="shared" si="2"/>
        <v>0.02</v>
      </c>
      <c r="H8" s="8">
        <f t="shared" si="0"/>
        <v>3.36</v>
      </c>
      <c r="I8" s="8">
        <f>Delta!$B$2</f>
        <v>48.66</v>
      </c>
      <c r="J8" s="8">
        <f>RTD("rit2.rtd",,"RTM" &amp; E8 &amp; "C" &amp; F8,"COST")</f>
        <v>0</v>
      </c>
      <c r="K8" s="8">
        <f>RTD("rit2.rtd",,"RTM" &amp; E8 &amp; "P" &amp; F8,"COST")</f>
        <v>0</v>
      </c>
      <c r="L8" s="8">
        <f>IV!G15</f>
        <v>0</v>
      </c>
      <c r="M8" s="8">
        <f>IV!G16</f>
        <v>0</v>
      </c>
      <c r="N8" s="8" t="str">
        <f t="shared" si="1"/>
        <v>-</v>
      </c>
      <c r="O8" s="8"/>
      <c r="P8" s="8"/>
      <c r="R8" s="8"/>
      <c r="S8" s="8">
        <v>1</v>
      </c>
      <c r="T8" s="8">
        <v>51</v>
      </c>
      <c r="U8" s="8">
        <f>Delta!B15</f>
        <v>0.02</v>
      </c>
      <c r="V8" s="8">
        <f>Delta!B16</f>
        <v>3.36</v>
      </c>
      <c r="W8" s="8">
        <f>Delta!$B$2</f>
        <v>48.66</v>
      </c>
      <c r="X8" s="8" t="str">
        <f>IF(Strategies!$B$5=S8, T8+U8-V8-W8, "-")</f>
        <v>-</v>
      </c>
      <c r="Y8" s="8"/>
      <c r="Z8" s="8"/>
      <c r="AC8" s="4">
        <f>2000</f>
        <v>2000</v>
      </c>
      <c r="AD8" s="4" t="e">
        <f>News!B7</f>
        <v>#VALUE!</v>
      </c>
    </row>
    <row r="9" spans="1:30" ht="30" customHeight="1">
      <c r="A9" s="4" t="s">
        <v>53</v>
      </c>
      <c r="B9" s="5">
        <f>IFERROR(News!B4,0.2)</f>
        <v>0.27500000000000002</v>
      </c>
      <c r="D9" s="8"/>
      <c r="E9" s="8">
        <v>1</v>
      </c>
      <c r="F9" s="8">
        <v>52</v>
      </c>
      <c r="G9" s="8">
        <f t="shared" si="2"/>
        <v>0.02</v>
      </c>
      <c r="H9" s="8">
        <f t="shared" si="0"/>
        <v>4.3600000000000003</v>
      </c>
      <c r="I9" s="8">
        <f>Delta!$B$2</f>
        <v>48.66</v>
      </c>
      <c r="J9" s="8">
        <f>RTD("rit2.rtd",,"RTM" &amp; E9 &amp; "C" &amp; F9,"COST")</f>
        <v>0</v>
      </c>
      <c r="K9" s="8">
        <f>RTD("rit2.rtd",,"RTM" &amp; E9 &amp; "P" &amp; F9,"COST")</f>
        <v>0</v>
      </c>
      <c r="L9" s="8">
        <f>IV!G17</f>
        <v>0</v>
      </c>
      <c r="M9" s="8">
        <f>IV!G18</f>
        <v>0</v>
      </c>
      <c r="N9" s="8" t="str">
        <f t="shared" si="1"/>
        <v>-</v>
      </c>
      <c r="O9" s="8"/>
      <c r="P9" s="8"/>
      <c r="R9" s="8"/>
      <c r="S9" s="8">
        <v>1</v>
      </c>
      <c r="T9" s="8">
        <v>52</v>
      </c>
      <c r="U9" s="8">
        <f>Delta!B17</f>
        <v>0.02</v>
      </c>
      <c r="V9" s="8">
        <f>Delta!B18</f>
        <v>4.3600000000000003</v>
      </c>
      <c r="W9" s="8">
        <f>Delta!$B$2</f>
        <v>48.66</v>
      </c>
      <c r="X9" s="8" t="str">
        <f>IF(Strategies!$B$5=S9, T9+U9-V9-W9, "-")</f>
        <v>-</v>
      </c>
      <c r="Y9" s="8"/>
      <c r="Z9" s="8"/>
      <c r="AC9" s="4" t="s">
        <v>59</v>
      </c>
    </row>
    <row r="10" spans="1:30" ht="30" customHeight="1">
      <c r="A10" s="4" t="s">
        <v>51</v>
      </c>
      <c r="B10" s="5">
        <v>0</v>
      </c>
      <c r="D10" s="8"/>
      <c r="E10" s="8">
        <v>1</v>
      </c>
      <c r="F10" s="8">
        <v>53</v>
      </c>
      <c r="G10" s="8">
        <f t="shared" si="2"/>
        <v>0.02</v>
      </c>
      <c r="H10" s="8">
        <f t="shared" si="0"/>
        <v>5.36</v>
      </c>
      <c r="I10" s="8">
        <f>Delta!$B$2</f>
        <v>48.66</v>
      </c>
      <c r="J10" s="8">
        <f>RTD("rit2.rtd",,"RTM" &amp; E10 &amp; "C" &amp; F10,"COST")</f>
        <v>0</v>
      </c>
      <c r="K10" s="8">
        <f>RTD("rit2.rtd",,"RTM" &amp; E10 &amp; "P" &amp; F10,"COST")</f>
        <v>0</v>
      </c>
      <c r="L10" s="8">
        <f>IV!G19</f>
        <v>0</v>
      </c>
      <c r="M10" s="8">
        <f>IV!G20</f>
        <v>0</v>
      </c>
      <c r="N10" s="8" t="str">
        <f t="shared" si="1"/>
        <v>-</v>
      </c>
      <c r="O10" s="8"/>
      <c r="P10" s="8"/>
      <c r="R10" s="8"/>
      <c r="S10" s="8">
        <v>1</v>
      </c>
      <c r="T10" s="8">
        <v>53</v>
      </c>
      <c r="U10" s="8">
        <f>Delta!B19</f>
        <v>0.02</v>
      </c>
      <c r="V10" s="8">
        <f>Delta!B20</f>
        <v>5.36</v>
      </c>
      <c r="W10" s="8">
        <f>Delta!$B$2</f>
        <v>48.66</v>
      </c>
      <c r="X10" s="8" t="str">
        <f>IF(Strategies!$B$5=S10, T10+U10-V10-W10, "-")</f>
        <v>-</v>
      </c>
      <c r="Y10" s="8"/>
      <c r="Z10" s="8"/>
      <c r="AC10" s="4">
        <f>Delta!I2</f>
        <v>0</v>
      </c>
      <c r="AD10" s="4" t="e">
        <f ca="1">Delta!J2</f>
        <v>#VALUE!</v>
      </c>
    </row>
    <row r="11" spans="1:30" ht="30" customHeight="1">
      <c r="D11" s="8"/>
      <c r="E11" s="8">
        <v>1</v>
      </c>
      <c r="F11" s="8">
        <v>54</v>
      </c>
      <c r="G11" s="8">
        <f t="shared" si="2"/>
        <v>0.02</v>
      </c>
      <c r="H11" s="8">
        <f t="shared" si="0"/>
        <v>6.36</v>
      </c>
      <c r="I11" s="8">
        <f>Delta!$B$2</f>
        <v>48.66</v>
      </c>
      <c r="J11" s="8">
        <f>RTD("rit2.rtd",,"RTM" &amp; E11 &amp; "C" &amp; F11,"COST")</f>
        <v>0</v>
      </c>
      <c r="K11" s="8">
        <f>RTD("rit2.rtd",,"RTM" &amp; E11 &amp; "P" &amp; F11,"COST")</f>
        <v>0</v>
      </c>
      <c r="L11" s="8">
        <f>IV!G21</f>
        <v>0</v>
      </c>
      <c r="M11" s="8">
        <f>IV!G22</f>
        <v>0</v>
      </c>
      <c r="N11" s="8" t="str">
        <f t="shared" si="1"/>
        <v>-</v>
      </c>
      <c r="O11" s="8"/>
      <c r="P11" s="8"/>
      <c r="R11" s="8"/>
      <c r="S11" s="8">
        <v>1</v>
      </c>
      <c r="T11" s="8">
        <v>54</v>
      </c>
      <c r="U11" s="8">
        <f>Delta!B21</f>
        <v>0.02</v>
      </c>
      <c r="V11" s="8">
        <f>Delta!B22</f>
        <v>6.36</v>
      </c>
      <c r="W11" s="8">
        <f>Delta!$B$2</f>
        <v>48.66</v>
      </c>
      <c r="X11" s="8" t="str">
        <f>IF(Strategies!$B$5=S11, T11+U11-V11-W11, "-")</f>
        <v>-</v>
      </c>
      <c r="Y11" s="8"/>
      <c r="Z11" s="8"/>
    </row>
    <row r="12" spans="1:30" ht="30" customHeight="1">
      <c r="D12" s="7"/>
      <c r="E12" s="7">
        <v>2</v>
      </c>
      <c r="F12" s="7">
        <v>45</v>
      </c>
      <c r="G12" s="7">
        <f t="shared" si="2"/>
        <v>3.67</v>
      </c>
      <c r="H12" s="7">
        <f t="shared" si="0"/>
        <v>0.02</v>
      </c>
      <c r="I12" s="7">
        <f>Delta!$B$2</f>
        <v>48.66</v>
      </c>
      <c r="J12" s="7">
        <f>RTD("rit2.rtd",,"RTM" &amp; E12 &amp; "C" &amp; F12,"COST")</f>
        <v>0</v>
      </c>
      <c r="K12" s="7">
        <f>RTD("rit2.rtd",,"RTM" &amp; E12 &amp; "P" &amp; F12,"COST")</f>
        <v>0</v>
      </c>
      <c r="L12" s="7">
        <f>IV!G23</f>
        <v>0.24548614262149077</v>
      </c>
      <c r="M12" s="7">
        <f>IV!G24</f>
        <v>0.27321452469481816</v>
      </c>
      <c r="N12" s="7">
        <f>100 * D12 * (G12+H12-J12-K12-0.08)</f>
        <v>0</v>
      </c>
      <c r="O12" s="7"/>
      <c r="P12" s="7"/>
      <c r="R12" s="7"/>
      <c r="S12" s="7">
        <v>2</v>
      </c>
      <c r="T12" s="7">
        <v>45</v>
      </c>
      <c r="U12" s="7">
        <f>Delta!B23</f>
        <v>3.67</v>
      </c>
      <c r="V12" s="7">
        <f>Delta!B24</f>
        <v>0.02</v>
      </c>
      <c r="W12" s="7">
        <f>Delta!$B$2</f>
        <v>48.66</v>
      </c>
      <c r="X12" s="7">
        <f>T12+U12-V12-W12</f>
        <v>-9.9999999999980105E-3</v>
      </c>
      <c r="Y12" s="7"/>
      <c r="Z12" s="7"/>
    </row>
    <row r="13" spans="1:30" ht="30" customHeight="1">
      <c r="D13" s="7"/>
      <c r="E13" s="7">
        <v>2</v>
      </c>
      <c r="F13" s="7">
        <v>46</v>
      </c>
      <c r="G13" s="7">
        <f t="shared" si="2"/>
        <v>2.7</v>
      </c>
      <c r="H13" s="7">
        <f t="shared" si="0"/>
        <v>0.04</v>
      </c>
      <c r="I13" s="7">
        <f>Delta!$B$2</f>
        <v>48.66</v>
      </c>
      <c r="J13" s="7">
        <f>RTD("rit2.rtd",,"RTM" &amp; E13 &amp; "C" &amp; F13,"COST")</f>
        <v>0</v>
      </c>
      <c r="K13" s="7">
        <f>RTD("rit2.rtd",,"RTM" &amp; E13 &amp; "P" &amp; F13,"COST")</f>
        <v>0</v>
      </c>
      <c r="L13" s="7">
        <f>IV!G25</f>
        <v>0.23742669459217408</v>
      </c>
      <c r="M13" s="7">
        <f>IV!G26</f>
        <v>0.23742669459216714</v>
      </c>
      <c r="N13" s="7">
        <f t="shared" ref="N13:N21" si="3">100 * D13 * (G13+H13-J13-K13-0.08)</f>
        <v>0</v>
      </c>
      <c r="O13" s="7"/>
      <c r="P13" s="7"/>
      <c r="R13" s="7"/>
      <c r="S13" s="7">
        <v>2</v>
      </c>
      <c r="T13" s="7">
        <v>46</v>
      </c>
      <c r="U13" s="7">
        <f>Delta!B25</f>
        <v>2.7</v>
      </c>
      <c r="V13" s="7">
        <f>Delta!B26</f>
        <v>0.04</v>
      </c>
      <c r="W13" s="7">
        <f>Delta!$B$2</f>
        <v>48.66</v>
      </c>
      <c r="X13" s="7">
        <f t="shared" ref="X13:X21" si="4">T13+U13-V13-W13</f>
        <v>0</v>
      </c>
      <c r="Y13" s="7"/>
      <c r="Z13" s="7"/>
    </row>
    <row r="14" spans="1:30" ht="30" customHeight="1">
      <c r="D14" s="7"/>
      <c r="E14" s="7">
        <v>2</v>
      </c>
      <c r="F14" s="7">
        <v>47</v>
      </c>
      <c r="G14" s="7">
        <f t="shared" si="2"/>
        <v>1.81</v>
      </c>
      <c r="H14" s="7">
        <f t="shared" si="0"/>
        <v>0.15</v>
      </c>
      <c r="I14" s="7">
        <f>Delta!$B$2</f>
        <v>48.66</v>
      </c>
      <c r="J14" s="7">
        <f>RTD("rit2.rtd",,"RTM" &amp; E14 &amp; "C" &amp; F14,"COST")</f>
        <v>0</v>
      </c>
      <c r="K14" s="7">
        <f>RTD("rit2.rtd",,"RTM" &amp; E14 &amp; "P" &amp; F14,"COST")</f>
        <v>0</v>
      </c>
      <c r="L14" s="7">
        <f>IV!G27</f>
        <v>0.23953900583089785</v>
      </c>
      <c r="M14" s="7">
        <f>IV!G28</f>
        <v>0.23953900583089788</v>
      </c>
      <c r="N14" s="7">
        <f t="shared" si="3"/>
        <v>0</v>
      </c>
      <c r="O14" s="7"/>
      <c r="P14" s="7"/>
      <c r="R14" s="7"/>
      <c r="S14" s="7">
        <v>2</v>
      </c>
      <c r="T14" s="7">
        <v>47</v>
      </c>
      <c r="U14" s="7">
        <f>Delta!B27</f>
        <v>1.81</v>
      </c>
      <c r="V14" s="7">
        <f>Delta!B28</f>
        <v>0.15</v>
      </c>
      <c r="W14" s="7">
        <f>Delta!$B$2</f>
        <v>48.66</v>
      </c>
      <c r="X14" s="7">
        <f t="shared" si="4"/>
        <v>0</v>
      </c>
      <c r="Y14" s="7"/>
      <c r="Z14" s="7"/>
    </row>
    <row r="15" spans="1:30" ht="30" customHeight="1">
      <c r="D15" s="7"/>
      <c r="E15" s="7">
        <v>2</v>
      </c>
      <c r="F15" s="7">
        <v>48</v>
      </c>
      <c r="G15" s="7">
        <f t="shared" si="2"/>
        <v>1.07</v>
      </c>
      <c r="H15" s="7">
        <f t="shared" si="0"/>
        <v>0.41</v>
      </c>
      <c r="I15" s="7">
        <f>Delta!$B$2</f>
        <v>48.66</v>
      </c>
      <c r="J15" s="7">
        <f>RTD("rit2.rtd",,"RTM" &amp; E15 &amp; "C" &amp; F15,"COST")</f>
        <v>0</v>
      </c>
      <c r="K15" s="7">
        <f>RTD("rit2.rtd",,"RTM" &amp; E15 &amp; "P" &amp; F15,"COST")</f>
        <v>0</v>
      </c>
      <c r="L15" s="7">
        <f>IV!G29</f>
        <v>0.24021707458316749</v>
      </c>
      <c r="M15" s="7">
        <f>IV!G30</f>
        <v>0.24021707458316349</v>
      </c>
      <c r="N15" s="7">
        <f t="shared" si="3"/>
        <v>0</v>
      </c>
      <c r="O15" s="7"/>
      <c r="P15" s="7"/>
      <c r="R15" s="7"/>
      <c r="S15" s="7">
        <v>2</v>
      </c>
      <c r="T15" s="7">
        <v>48</v>
      </c>
      <c r="U15" s="7">
        <f>Delta!B29</f>
        <v>1.07</v>
      </c>
      <c r="V15" s="7">
        <f>Delta!B30</f>
        <v>0.41</v>
      </c>
      <c r="W15" s="7">
        <f>Delta!$B$2</f>
        <v>48.66</v>
      </c>
      <c r="X15" s="7">
        <f t="shared" si="4"/>
        <v>0</v>
      </c>
      <c r="Y15" s="7"/>
      <c r="Z15" s="7"/>
    </row>
    <row r="16" spans="1:30" ht="30" customHeight="1">
      <c r="D16" s="7"/>
      <c r="E16" s="7">
        <v>2</v>
      </c>
      <c r="F16" s="7">
        <v>49</v>
      </c>
      <c r="G16" s="7">
        <f t="shared" si="2"/>
        <v>0.54</v>
      </c>
      <c r="H16" s="7">
        <f t="shared" si="0"/>
        <v>0.88</v>
      </c>
      <c r="I16" s="7">
        <f>Delta!$B$2</f>
        <v>48.66</v>
      </c>
      <c r="J16" s="7">
        <f>RTD("rit2.rtd",,"RTM" &amp; E16 &amp; "C" &amp; F16,"COST")</f>
        <v>0</v>
      </c>
      <c r="K16" s="7">
        <f>RTD("rit2.rtd",,"RTM" &amp; E16 &amp; "P" &amp; F16,"COST")</f>
        <v>0</v>
      </c>
      <c r="L16" s="7">
        <f>IV!G31</f>
        <v>0.23997636856967899</v>
      </c>
      <c r="M16" s="7">
        <f>IV!G32</f>
        <v>0.23997636856967514</v>
      </c>
      <c r="N16" s="7">
        <f t="shared" si="3"/>
        <v>0</v>
      </c>
      <c r="O16" s="7"/>
      <c r="P16" s="7"/>
      <c r="R16" s="7"/>
      <c r="S16" s="7">
        <v>2</v>
      </c>
      <c r="T16" s="7">
        <v>49</v>
      </c>
      <c r="U16" s="7">
        <f>Delta!B31</f>
        <v>0.54</v>
      </c>
      <c r="V16" s="7">
        <f>Delta!B32</f>
        <v>0.88</v>
      </c>
      <c r="W16" s="7">
        <f>Delta!$B$2</f>
        <v>48.66</v>
      </c>
      <c r="X16" s="7">
        <f t="shared" si="4"/>
        <v>0</v>
      </c>
      <c r="Y16" s="7"/>
      <c r="Z16" s="7"/>
    </row>
    <row r="17" spans="1:26" ht="30" customHeight="1">
      <c r="D17" s="7"/>
      <c r="E17" s="7">
        <v>2</v>
      </c>
      <c r="F17" s="7">
        <v>50</v>
      </c>
      <c r="G17" s="7">
        <f t="shared" si="2"/>
        <v>0.23</v>
      </c>
      <c r="H17" s="7">
        <f t="shared" si="0"/>
        <v>1.57</v>
      </c>
      <c r="I17" s="7">
        <f>Delta!$B$2</f>
        <v>48.66</v>
      </c>
      <c r="J17" s="7">
        <f>RTD("rit2.rtd",,"RTM" &amp; E17 &amp; "C" &amp; F17,"COST")</f>
        <v>0</v>
      </c>
      <c r="K17" s="7">
        <f>RTD("rit2.rtd",,"RTM" &amp; E17 &amp; "P" &amp; F17,"COST")</f>
        <v>0</v>
      </c>
      <c r="L17" s="7">
        <f>IV!G33</f>
        <v>0.24102043155177952</v>
      </c>
      <c r="M17" s="7">
        <f>IV!G34</f>
        <v>0.24102043155177572</v>
      </c>
      <c r="N17" s="7">
        <f t="shared" si="3"/>
        <v>0</v>
      </c>
      <c r="O17" s="7"/>
      <c r="P17" s="7"/>
      <c r="R17" s="7"/>
      <c r="S17" s="7">
        <v>2</v>
      </c>
      <c r="T17" s="7">
        <v>50</v>
      </c>
      <c r="U17" s="7">
        <f>Delta!B33</f>
        <v>0.23</v>
      </c>
      <c r="V17" s="7">
        <f>Delta!B34</f>
        <v>1.57</v>
      </c>
      <c r="W17" s="7">
        <f>Delta!$B$2</f>
        <v>48.66</v>
      </c>
      <c r="X17" s="7">
        <f t="shared" si="4"/>
        <v>0</v>
      </c>
      <c r="Y17" s="7"/>
      <c r="Z17" s="7"/>
    </row>
    <row r="18" spans="1:26" ht="30" customHeight="1">
      <c r="D18" s="7"/>
      <c r="E18" s="7">
        <v>2</v>
      </c>
      <c r="F18" s="7">
        <v>51</v>
      </c>
      <c r="G18" s="7">
        <f t="shared" si="2"/>
        <v>0.08</v>
      </c>
      <c r="H18" s="7">
        <f t="shared" si="0"/>
        <v>2.42</v>
      </c>
      <c r="I18" s="7">
        <f>Delta!$B$2</f>
        <v>48.66</v>
      </c>
      <c r="J18" s="7">
        <f>RTD("rit2.rtd",,"RTM" &amp; E18 &amp; "C" &amp; F18,"COST")</f>
        <v>0</v>
      </c>
      <c r="K18" s="7">
        <f>RTD("rit2.rtd",,"RTM" &amp; E18 &amp; "P" &amp; F18,"COST")</f>
        <v>0</v>
      </c>
      <c r="L18" s="7">
        <f>IV!G35</f>
        <v>0.24083603050901936</v>
      </c>
      <c r="M18" s="7">
        <f>IV!G36</f>
        <v>0.24083603050901828</v>
      </c>
      <c r="N18" s="7">
        <f t="shared" si="3"/>
        <v>0</v>
      </c>
      <c r="O18" s="7"/>
      <c r="P18" s="7"/>
      <c r="R18" s="7"/>
      <c r="S18" s="7">
        <v>2</v>
      </c>
      <c r="T18" s="7">
        <v>51</v>
      </c>
      <c r="U18" s="7">
        <f>Delta!B35</f>
        <v>0.08</v>
      </c>
      <c r="V18" s="7">
        <f>Delta!B36</f>
        <v>2.42</v>
      </c>
      <c r="W18" s="7">
        <f>Delta!$B$2</f>
        <v>48.66</v>
      </c>
      <c r="X18" s="7">
        <f t="shared" si="4"/>
        <v>0</v>
      </c>
      <c r="Y18" s="7"/>
      <c r="Z18" s="7"/>
    </row>
    <row r="19" spans="1:26" ht="30" customHeight="1">
      <c r="D19" s="7"/>
      <c r="E19" s="7">
        <v>2</v>
      </c>
      <c r="F19" s="7">
        <v>52</v>
      </c>
      <c r="G19" s="7">
        <f t="shared" si="2"/>
        <v>0.02</v>
      </c>
      <c r="H19" s="7">
        <f t="shared" si="0"/>
        <v>3.36</v>
      </c>
      <c r="I19" s="7">
        <f>Delta!$B$2</f>
        <v>48.66</v>
      </c>
      <c r="J19" s="7">
        <f>RTD("rit2.rtd",,"RTM" &amp; E19 &amp; "C" &amp; F19,"COST")</f>
        <v>0</v>
      </c>
      <c r="K19" s="7">
        <f>RTD("rit2.rtd",,"RTM" &amp; E19 &amp; "P" &amp; F19,"COST")</f>
        <v>0</v>
      </c>
      <c r="L19" s="7">
        <f>IV!G37</f>
        <v>0.23554065992022216</v>
      </c>
      <c r="M19" s="7">
        <f>IV!G38</f>
        <v>0.23554065992021561</v>
      </c>
      <c r="N19" s="7">
        <f t="shared" si="3"/>
        <v>0</v>
      </c>
      <c r="O19" s="7"/>
      <c r="P19" s="7"/>
      <c r="R19" s="7"/>
      <c r="S19" s="7">
        <v>2</v>
      </c>
      <c r="T19" s="7">
        <v>52</v>
      </c>
      <c r="U19" s="7">
        <f>Delta!B37</f>
        <v>0.02</v>
      </c>
      <c r="V19" s="7">
        <f>Delta!B38</f>
        <v>3.36</v>
      </c>
      <c r="W19" s="7">
        <f>Delta!$B$2</f>
        <v>48.66</v>
      </c>
      <c r="X19" s="7">
        <f t="shared" si="4"/>
        <v>0</v>
      </c>
      <c r="Y19" s="7"/>
      <c r="Z19" s="7"/>
    </row>
    <row r="20" spans="1:26" ht="30" customHeight="1">
      <c r="D20" s="7"/>
      <c r="E20" s="7">
        <v>2</v>
      </c>
      <c r="F20" s="7">
        <v>53</v>
      </c>
      <c r="G20" s="7">
        <f t="shared" si="2"/>
        <v>0.02</v>
      </c>
      <c r="H20" s="7">
        <f t="shared" si="0"/>
        <v>4.34</v>
      </c>
      <c r="I20" s="7">
        <f>Delta!$B$2</f>
        <v>48.66</v>
      </c>
      <c r="J20" s="7">
        <f>RTD("rit2.rtd",,"RTM" &amp; E20 &amp; "C" &amp; F20,"COST")</f>
        <v>0</v>
      </c>
      <c r="K20" s="7">
        <f>RTD("rit2.rtd",,"RTM" &amp; E20 &amp; "P" &amp; F20,"COST")</f>
        <v>0</v>
      </c>
      <c r="L20" s="7">
        <f>IV!G39</f>
        <v>0.29033207586817067</v>
      </c>
      <c r="M20" s="7">
        <f>IV!G40</f>
        <v>9.9993840785226787E-2</v>
      </c>
      <c r="N20" s="7">
        <f t="shared" si="3"/>
        <v>0</v>
      </c>
      <c r="O20" s="7"/>
      <c r="P20" s="7"/>
      <c r="R20" s="7"/>
      <c r="S20" s="7">
        <v>2</v>
      </c>
      <c r="T20" s="7">
        <v>53</v>
      </c>
      <c r="U20" s="7">
        <f>Delta!B39</f>
        <v>0.02</v>
      </c>
      <c r="V20" s="7">
        <f>Delta!B40</f>
        <v>4.34</v>
      </c>
      <c r="W20" s="7">
        <f>Delta!$B$2</f>
        <v>48.66</v>
      </c>
      <c r="X20" s="7">
        <f t="shared" si="4"/>
        <v>2.0000000000010232E-2</v>
      </c>
      <c r="Y20" s="7"/>
      <c r="Z20" s="7"/>
    </row>
    <row r="21" spans="1:26" ht="30" customHeight="1">
      <c r="D21" s="7"/>
      <c r="E21" s="7">
        <v>2</v>
      </c>
      <c r="F21" s="7">
        <v>54</v>
      </c>
      <c r="G21" s="7">
        <f t="shared" si="2"/>
        <v>0.02</v>
      </c>
      <c r="H21" s="7">
        <f t="shared" si="0"/>
        <v>5.34</v>
      </c>
      <c r="I21" s="7">
        <f>Delta!$B$2</f>
        <v>48.66</v>
      </c>
      <c r="J21" s="7">
        <f>RTD("rit2.rtd",,"RTM" &amp; E21 &amp; "C" &amp; F21,"COST")</f>
        <v>0</v>
      </c>
      <c r="K21" s="7">
        <f>RTD("rit2.rtd",,"RTM" &amp; E21 &amp; "P" &amp; F21,"COST")</f>
        <v>0</v>
      </c>
      <c r="L21" s="7">
        <f>IV!G41</f>
        <v>0.34256175842272191</v>
      </c>
      <c r="M21" s="7">
        <f>IV!G42</f>
        <v>9.9999998472334303E-2</v>
      </c>
      <c r="N21" s="7">
        <f t="shared" si="3"/>
        <v>0</v>
      </c>
      <c r="O21" s="7"/>
      <c r="P21" s="7"/>
      <c r="R21" s="7"/>
      <c r="S21" s="7">
        <v>2</v>
      </c>
      <c r="T21" s="7">
        <v>54</v>
      </c>
      <c r="U21" s="7">
        <f>Delta!B41</f>
        <v>0.02</v>
      </c>
      <c r="V21" s="7">
        <f>Delta!B42</f>
        <v>5.34</v>
      </c>
      <c r="W21" s="7">
        <f>Delta!$B$2</f>
        <v>48.66</v>
      </c>
      <c r="X21" s="7">
        <f t="shared" si="4"/>
        <v>2.0000000000010232E-2</v>
      </c>
      <c r="Y21" s="7"/>
      <c r="Z21" s="7"/>
    </row>
    <row r="22" spans="1:26">
      <c r="K22" s="10"/>
      <c r="N22" s="10"/>
    </row>
    <row r="23" spans="1:26">
      <c r="A23" s="4" t="s">
        <v>2</v>
      </c>
      <c r="B23" s="4">
        <v>100</v>
      </c>
    </row>
    <row r="24" spans="1:26">
      <c r="A24" s="4" t="s">
        <v>4</v>
      </c>
      <c r="B24" s="4">
        <v>50</v>
      </c>
      <c r="C24" s="4" t="str">
        <f>"RTM1C"&amp;B24</f>
        <v>RTM1C50</v>
      </c>
    </row>
    <row r="25" spans="1:26">
      <c r="A25" s="4" t="s">
        <v>3</v>
      </c>
      <c r="B25" s="4">
        <f>B24</f>
        <v>50</v>
      </c>
      <c r="C25" s="4" t="str">
        <f>"RTM2C" &amp; B25</f>
        <v>RTM2C50</v>
      </c>
    </row>
    <row r="28" spans="1:26">
      <c r="C28" s="9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'tradePutCallParity 45,1,2'">
                <anchor moveWithCells="1">
                  <from>
                    <xdr:col>24</xdr:col>
                    <xdr:colOff>71438</xdr:colOff>
                    <xdr:row>1</xdr:row>
                    <xdr:rowOff>14288</xdr:rowOff>
                  </from>
                  <to>
                    <xdr:col>24</xdr:col>
                    <xdr:colOff>590550</xdr:colOff>
                    <xdr:row>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'tradePutCallParity 46,1,3'">
                <anchor moveWithCells="1">
                  <from>
                    <xdr:col>24</xdr:col>
                    <xdr:colOff>71438</xdr:colOff>
                    <xdr:row>2</xdr:row>
                    <xdr:rowOff>14288</xdr:rowOff>
                  </from>
                  <to>
                    <xdr:col>24</xdr:col>
                    <xdr:colOff>590550</xdr:colOff>
                    <xdr:row>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'tradePutCallParity 47,1,4'">
                <anchor moveWithCells="1">
                  <from>
                    <xdr:col>24</xdr:col>
                    <xdr:colOff>71438</xdr:colOff>
                    <xdr:row>3</xdr:row>
                    <xdr:rowOff>14288</xdr:rowOff>
                  </from>
                  <to>
                    <xdr:col>24</xdr:col>
                    <xdr:colOff>590550</xdr:colOff>
                    <xdr:row>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'tradePutCallParity 48,1,5'">
                <anchor moveWithCells="1">
                  <from>
                    <xdr:col>24</xdr:col>
                    <xdr:colOff>71438</xdr:colOff>
                    <xdr:row>4</xdr:row>
                    <xdr:rowOff>14288</xdr:rowOff>
                  </from>
                  <to>
                    <xdr:col>24</xdr:col>
                    <xdr:colOff>590550</xdr:colOff>
                    <xdr:row>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'tradePutCallParity 49,1,6'">
                <anchor moveWithCells="1">
                  <from>
                    <xdr:col>24</xdr:col>
                    <xdr:colOff>71438</xdr:colOff>
                    <xdr:row>5</xdr:row>
                    <xdr:rowOff>14288</xdr:rowOff>
                  </from>
                  <to>
                    <xdr:col>24</xdr:col>
                    <xdr:colOff>590550</xdr:colOff>
                    <xdr:row>5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'tradePutCallParity 50,1,7'">
                <anchor moveWithCells="1">
                  <from>
                    <xdr:col>24</xdr:col>
                    <xdr:colOff>71438</xdr:colOff>
                    <xdr:row>6</xdr:row>
                    <xdr:rowOff>14288</xdr:rowOff>
                  </from>
                  <to>
                    <xdr:col>24</xdr:col>
                    <xdr:colOff>590550</xdr:colOff>
                    <xdr:row>6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'tradePutCallParity 51,1,8'">
                <anchor moveWithCells="1">
                  <from>
                    <xdr:col>24</xdr:col>
                    <xdr:colOff>71438</xdr:colOff>
                    <xdr:row>7</xdr:row>
                    <xdr:rowOff>14288</xdr:rowOff>
                  </from>
                  <to>
                    <xdr:col>24</xdr:col>
                    <xdr:colOff>590550</xdr:colOff>
                    <xdr:row>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'tradePutCallParity 52,1,9'">
                <anchor moveWithCells="1">
                  <from>
                    <xdr:col>24</xdr:col>
                    <xdr:colOff>71438</xdr:colOff>
                    <xdr:row>8</xdr:row>
                    <xdr:rowOff>14288</xdr:rowOff>
                  </from>
                  <to>
                    <xdr:col>24</xdr:col>
                    <xdr:colOff>590550</xdr:colOff>
                    <xdr:row>8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'tradePutCallParity 53,1,10'">
                <anchor moveWithCells="1">
                  <from>
                    <xdr:col>24</xdr:col>
                    <xdr:colOff>71438</xdr:colOff>
                    <xdr:row>9</xdr:row>
                    <xdr:rowOff>14288</xdr:rowOff>
                  </from>
                  <to>
                    <xdr:col>24</xdr:col>
                    <xdr:colOff>590550</xdr:colOff>
                    <xdr:row>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'tradePutCallParity 54,1,11'">
                <anchor moveWithCells="1">
                  <from>
                    <xdr:col>24</xdr:col>
                    <xdr:colOff>71438</xdr:colOff>
                    <xdr:row>10</xdr:row>
                    <xdr:rowOff>14288</xdr:rowOff>
                  </from>
                  <to>
                    <xdr:col>24</xdr:col>
                    <xdr:colOff>590550</xdr:colOff>
                    <xdr:row>10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'tradePutCallParity 45,2,12'">
                <anchor moveWithCells="1">
                  <from>
                    <xdr:col>24</xdr:col>
                    <xdr:colOff>71438</xdr:colOff>
                    <xdr:row>11</xdr:row>
                    <xdr:rowOff>14288</xdr:rowOff>
                  </from>
                  <to>
                    <xdr:col>24</xdr:col>
                    <xdr:colOff>590550</xdr:colOff>
                    <xdr:row>11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'tradePutCallParity 46,2,13'">
                <anchor moveWithCells="1">
                  <from>
                    <xdr:col>24</xdr:col>
                    <xdr:colOff>71438</xdr:colOff>
                    <xdr:row>12</xdr:row>
                    <xdr:rowOff>14288</xdr:rowOff>
                  </from>
                  <to>
                    <xdr:col>24</xdr:col>
                    <xdr:colOff>590550</xdr:colOff>
                    <xdr:row>12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Button 25">
              <controlPr defaultSize="0" print="0" autoFill="0" autoPict="0" macro="[0]!'tradePutCallParity 47,2,14'">
                <anchor moveWithCells="1">
                  <from>
                    <xdr:col>24</xdr:col>
                    <xdr:colOff>71438</xdr:colOff>
                    <xdr:row>13</xdr:row>
                    <xdr:rowOff>14288</xdr:rowOff>
                  </from>
                  <to>
                    <xdr:col>24</xdr:col>
                    <xdr:colOff>590550</xdr:colOff>
                    <xdr:row>13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'tradePutCallParity 48,2,15'">
                <anchor moveWithCells="1">
                  <from>
                    <xdr:col>24</xdr:col>
                    <xdr:colOff>71438</xdr:colOff>
                    <xdr:row>14</xdr:row>
                    <xdr:rowOff>14288</xdr:rowOff>
                  </from>
                  <to>
                    <xdr:col>24</xdr:col>
                    <xdr:colOff>590550</xdr:colOff>
                    <xdr:row>14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'tradePutCallParity 49,2,16'">
                <anchor moveWithCells="1">
                  <from>
                    <xdr:col>24</xdr:col>
                    <xdr:colOff>71438</xdr:colOff>
                    <xdr:row>15</xdr:row>
                    <xdr:rowOff>14288</xdr:rowOff>
                  </from>
                  <to>
                    <xdr:col>24</xdr:col>
                    <xdr:colOff>590550</xdr:colOff>
                    <xdr:row>15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9" name="Button 28">
              <controlPr defaultSize="0" print="0" autoFill="0" autoPict="0" macro="[0]!'tradePutCallParity 50,2,17'">
                <anchor moveWithCells="1">
                  <from>
                    <xdr:col>24</xdr:col>
                    <xdr:colOff>71438</xdr:colOff>
                    <xdr:row>16</xdr:row>
                    <xdr:rowOff>14288</xdr:rowOff>
                  </from>
                  <to>
                    <xdr:col>24</xdr:col>
                    <xdr:colOff>590550</xdr:colOff>
                    <xdr:row>16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Button 29">
              <controlPr defaultSize="0" print="0" autoFill="0" autoPict="0" macro="[0]!'tradePutCallParity 51,2,18'">
                <anchor moveWithCells="1">
                  <from>
                    <xdr:col>24</xdr:col>
                    <xdr:colOff>71438</xdr:colOff>
                    <xdr:row>17</xdr:row>
                    <xdr:rowOff>14288</xdr:rowOff>
                  </from>
                  <to>
                    <xdr:col>24</xdr:col>
                    <xdr:colOff>590550</xdr:colOff>
                    <xdr:row>17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'tradePutCallParity 52,2,19'">
                <anchor moveWithCells="1">
                  <from>
                    <xdr:col>24</xdr:col>
                    <xdr:colOff>71438</xdr:colOff>
                    <xdr:row>18</xdr:row>
                    <xdr:rowOff>14288</xdr:rowOff>
                  </from>
                  <to>
                    <xdr:col>24</xdr:col>
                    <xdr:colOff>590550</xdr:colOff>
                    <xdr:row>18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Button 31">
              <controlPr defaultSize="0" print="0" autoFill="0" autoPict="0" macro="[0]!'tradePutCallParity 53,2,20'">
                <anchor moveWithCells="1">
                  <from>
                    <xdr:col>24</xdr:col>
                    <xdr:colOff>71438</xdr:colOff>
                    <xdr:row>19</xdr:row>
                    <xdr:rowOff>14288</xdr:rowOff>
                  </from>
                  <to>
                    <xdr:col>24</xdr:col>
                    <xdr:colOff>590550</xdr:colOff>
                    <xdr:row>19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Button 32">
              <controlPr defaultSize="0" print="0" autoFill="0" autoPict="0" macro="[0]!'tradePutCallParity 54,2,21'">
                <anchor moveWithCells="1">
                  <from>
                    <xdr:col>24</xdr:col>
                    <xdr:colOff>71438</xdr:colOff>
                    <xdr:row>20</xdr:row>
                    <xdr:rowOff>14288</xdr:rowOff>
                  </from>
                  <to>
                    <xdr:col>24</xdr:col>
                    <xdr:colOff>590550</xdr:colOff>
                    <xdr:row>20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Button 33">
              <controlPr defaultSize="0" print="0" autoFill="0" autoPict="0" macro="[0]!clearPositionCells">
                <anchor moveWithCells="1" sizeWithCells="1">
                  <from>
                    <xdr:col>16</xdr:col>
                    <xdr:colOff>414338</xdr:colOff>
                    <xdr:row>21</xdr:row>
                    <xdr:rowOff>85725</xdr:rowOff>
                  </from>
                  <to>
                    <xdr:col>18</xdr:col>
                    <xdr:colOff>185738</xdr:colOff>
                    <xdr:row>24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Button 36">
              <controlPr defaultSize="0" print="0" autoFill="0" autoPict="0" macro="[0]!'closePutCallParity 45, 1, 2'">
                <anchor moveWithCells="1">
                  <from>
                    <xdr:col>25</xdr:col>
                    <xdr:colOff>71438</xdr:colOff>
                    <xdr:row>1</xdr:row>
                    <xdr:rowOff>14288</xdr:rowOff>
                  </from>
                  <to>
                    <xdr:col>25</xdr:col>
                    <xdr:colOff>590550</xdr:colOff>
                    <xdr:row>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6" name="Button 38">
              <controlPr defaultSize="0" print="0" autoFill="0" autoPict="0" macro="[0]!'closePutCallParity 46, 1, 3'">
                <anchor moveWithCells="1">
                  <from>
                    <xdr:col>25</xdr:col>
                    <xdr:colOff>71438</xdr:colOff>
                    <xdr:row>2</xdr:row>
                    <xdr:rowOff>14288</xdr:rowOff>
                  </from>
                  <to>
                    <xdr:col>25</xdr:col>
                    <xdr:colOff>590550</xdr:colOff>
                    <xdr:row>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7" name="Button 39">
              <controlPr defaultSize="0" print="0" autoFill="0" autoPict="0" macro="[0]!'closePutCallParity 47, 1, 4'">
                <anchor moveWithCells="1">
                  <from>
                    <xdr:col>25</xdr:col>
                    <xdr:colOff>71438</xdr:colOff>
                    <xdr:row>3</xdr:row>
                    <xdr:rowOff>14288</xdr:rowOff>
                  </from>
                  <to>
                    <xdr:col>25</xdr:col>
                    <xdr:colOff>590550</xdr:colOff>
                    <xdr:row>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8" name="Button 40">
              <controlPr defaultSize="0" print="0" autoFill="0" autoPict="0" macro="[0]!'closePutCallParity 48, 1, 5'">
                <anchor moveWithCells="1">
                  <from>
                    <xdr:col>25</xdr:col>
                    <xdr:colOff>71438</xdr:colOff>
                    <xdr:row>4</xdr:row>
                    <xdr:rowOff>14288</xdr:rowOff>
                  </from>
                  <to>
                    <xdr:col>25</xdr:col>
                    <xdr:colOff>590550</xdr:colOff>
                    <xdr:row>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9" name="Button 41">
              <controlPr defaultSize="0" print="0" autoFill="0" autoPict="0" macro="[0]!'closePutCallParity 49, 1, 6'">
                <anchor moveWithCells="1">
                  <from>
                    <xdr:col>25</xdr:col>
                    <xdr:colOff>71438</xdr:colOff>
                    <xdr:row>5</xdr:row>
                    <xdr:rowOff>14288</xdr:rowOff>
                  </from>
                  <to>
                    <xdr:col>25</xdr:col>
                    <xdr:colOff>590550</xdr:colOff>
                    <xdr:row>5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0" name="Button 42">
              <controlPr defaultSize="0" print="0" autoFill="0" autoPict="0" macro="[0]!'closePutCallParity 50, 1, 7'">
                <anchor moveWithCells="1">
                  <from>
                    <xdr:col>25</xdr:col>
                    <xdr:colOff>71438</xdr:colOff>
                    <xdr:row>6</xdr:row>
                    <xdr:rowOff>14288</xdr:rowOff>
                  </from>
                  <to>
                    <xdr:col>25</xdr:col>
                    <xdr:colOff>590550</xdr:colOff>
                    <xdr:row>6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1" name="Button 43">
              <controlPr defaultSize="0" print="0" autoFill="0" autoPict="0" macro="[0]!'closePutCallParity 51, 1, 8'">
                <anchor moveWithCells="1">
                  <from>
                    <xdr:col>25</xdr:col>
                    <xdr:colOff>71438</xdr:colOff>
                    <xdr:row>7</xdr:row>
                    <xdr:rowOff>14288</xdr:rowOff>
                  </from>
                  <to>
                    <xdr:col>25</xdr:col>
                    <xdr:colOff>590550</xdr:colOff>
                    <xdr:row>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2" name="Button 44">
              <controlPr defaultSize="0" print="0" autoFill="0" autoPict="0" macro="[0]!'closePutCallParity 52, 1, 9'">
                <anchor moveWithCells="1">
                  <from>
                    <xdr:col>25</xdr:col>
                    <xdr:colOff>71438</xdr:colOff>
                    <xdr:row>8</xdr:row>
                    <xdr:rowOff>14288</xdr:rowOff>
                  </from>
                  <to>
                    <xdr:col>25</xdr:col>
                    <xdr:colOff>590550</xdr:colOff>
                    <xdr:row>8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3" name="Button 45">
              <controlPr defaultSize="0" print="0" autoFill="0" autoPict="0" macro="[0]!'closePutCallParity 53, 1, 10'">
                <anchor moveWithCells="1">
                  <from>
                    <xdr:col>25</xdr:col>
                    <xdr:colOff>71438</xdr:colOff>
                    <xdr:row>9</xdr:row>
                    <xdr:rowOff>14288</xdr:rowOff>
                  </from>
                  <to>
                    <xdr:col>25</xdr:col>
                    <xdr:colOff>590550</xdr:colOff>
                    <xdr:row>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4" name="Button 46">
              <controlPr defaultSize="0" print="0" autoFill="0" autoPict="0" macro="[0]!'closePutCallParity 54, 1, 11'">
                <anchor moveWithCells="1">
                  <from>
                    <xdr:col>25</xdr:col>
                    <xdr:colOff>71438</xdr:colOff>
                    <xdr:row>10</xdr:row>
                    <xdr:rowOff>14288</xdr:rowOff>
                  </from>
                  <to>
                    <xdr:col>25</xdr:col>
                    <xdr:colOff>590550</xdr:colOff>
                    <xdr:row>10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5" name="Button 47">
              <controlPr defaultSize="0" print="0" autoFill="0" autoPict="0" macro="[0]!'closePutCallParity 45, 2, 12'">
                <anchor moveWithCells="1">
                  <from>
                    <xdr:col>25</xdr:col>
                    <xdr:colOff>71438</xdr:colOff>
                    <xdr:row>11</xdr:row>
                    <xdr:rowOff>14288</xdr:rowOff>
                  </from>
                  <to>
                    <xdr:col>25</xdr:col>
                    <xdr:colOff>590550</xdr:colOff>
                    <xdr:row>11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6" name="Button 48">
              <controlPr defaultSize="0" print="0" autoFill="0" autoPict="0" macro="[0]!'closePutCallParity 46, 2, 13'">
                <anchor moveWithCells="1">
                  <from>
                    <xdr:col>25</xdr:col>
                    <xdr:colOff>71438</xdr:colOff>
                    <xdr:row>12</xdr:row>
                    <xdr:rowOff>14288</xdr:rowOff>
                  </from>
                  <to>
                    <xdr:col>25</xdr:col>
                    <xdr:colOff>590550</xdr:colOff>
                    <xdr:row>12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7" name="Button 50">
              <controlPr defaultSize="0" print="0" autoFill="0" autoPict="0" macro="[0]!'closePutCallParity 47, 2, 14'">
                <anchor moveWithCells="1">
                  <from>
                    <xdr:col>25</xdr:col>
                    <xdr:colOff>71438</xdr:colOff>
                    <xdr:row>13</xdr:row>
                    <xdr:rowOff>14288</xdr:rowOff>
                  </from>
                  <to>
                    <xdr:col>25</xdr:col>
                    <xdr:colOff>590550</xdr:colOff>
                    <xdr:row>13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8" name="Button 51">
              <controlPr defaultSize="0" print="0" autoFill="0" autoPict="0" macro="[0]!'closePutCallParity 48, 2, 15'">
                <anchor moveWithCells="1">
                  <from>
                    <xdr:col>25</xdr:col>
                    <xdr:colOff>71438</xdr:colOff>
                    <xdr:row>14</xdr:row>
                    <xdr:rowOff>14288</xdr:rowOff>
                  </from>
                  <to>
                    <xdr:col>25</xdr:col>
                    <xdr:colOff>590550</xdr:colOff>
                    <xdr:row>14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9" name="Button 52">
              <controlPr defaultSize="0" print="0" autoFill="0" autoPict="0" macro="[0]!'closePutCallParity 49, 2, 16'">
                <anchor moveWithCells="1">
                  <from>
                    <xdr:col>25</xdr:col>
                    <xdr:colOff>71438</xdr:colOff>
                    <xdr:row>15</xdr:row>
                    <xdr:rowOff>14288</xdr:rowOff>
                  </from>
                  <to>
                    <xdr:col>25</xdr:col>
                    <xdr:colOff>590550</xdr:colOff>
                    <xdr:row>15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0" name="Button 53">
              <controlPr defaultSize="0" print="0" autoFill="0" autoPict="0" macro="[0]!'closePutCallParity 50, 2, 17'">
                <anchor moveWithCells="1">
                  <from>
                    <xdr:col>25</xdr:col>
                    <xdr:colOff>71438</xdr:colOff>
                    <xdr:row>16</xdr:row>
                    <xdr:rowOff>14288</xdr:rowOff>
                  </from>
                  <to>
                    <xdr:col>25</xdr:col>
                    <xdr:colOff>590550</xdr:colOff>
                    <xdr:row>16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1" name="Button 54">
              <controlPr defaultSize="0" print="0" autoFill="0" autoPict="0" macro="[0]!'closePutCallParity 51, 2, 18'">
                <anchor moveWithCells="1">
                  <from>
                    <xdr:col>25</xdr:col>
                    <xdr:colOff>71438</xdr:colOff>
                    <xdr:row>17</xdr:row>
                    <xdr:rowOff>14288</xdr:rowOff>
                  </from>
                  <to>
                    <xdr:col>25</xdr:col>
                    <xdr:colOff>590550</xdr:colOff>
                    <xdr:row>17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2" name="Button 55">
              <controlPr defaultSize="0" print="0" autoFill="0" autoPict="0" macro="[0]!'closePutCallParity 52, 2, 19'">
                <anchor moveWithCells="1">
                  <from>
                    <xdr:col>25</xdr:col>
                    <xdr:colOff>71438</xdr:colOff>
                    <xdr:row>18</xdr:row>
                    <xdr:rowOff>14288</xdr:rowOff>
                  </from>
                  <to>
                    <xdr:col>25</xdr:col>
                    <xdr:colOff>590550</xdr:colOff>
                    <xdr:row>18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3" name="Button 56">
              <controlPr defaultSize="0" print="0" autoFill="0" autoPict="0" macro="[0]!'closePutCallParity 53, 2, 20'">
                <anchor moveWithCells="1">
                  <from>
                    <xdr:col>25</xdr:col>
                    <xdr:colOff>71438</xdr:colOff>
                    <xdr:row>19</xdr:row>
                    <xdr:rowOff>14288</xdr:rowOff>
                  </from>
                  <to>
                    <xdr:col>25</xdr:col>
                    <xdr:colOff>590550</xdr:colOff>
                    <xdr:row>19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4" name="Button 57">
              <controlPr defaultSize="0" print="0" autoFill="0" autoPict="0" macro="[0]!'closePutCallParity 54, 2, 21'">
                <anchor moveWithCells="1">
                  <from>
                    <xdr:col>25</xdr:col>
                    <xdr:colOff>71438</xdr:colOff>
                    <xdr:row>20</xdr:row>
                    <xdr:rowOff>14288</xdr:rowOff>
                  </from>
                  <to>
                    <xdr:col>25</xdr:col>
                    <xdr:colOff>590550</xdr:colOff>
                    <xdr:row>20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5" name="Button 58">
              <controlPr defaultSize="0" print="0" autoFill="0" autoPict="0" macro="[0]!OpenCalendarSpread50">
                <anchor moveWithCells="1">
                  <from>
                    <xdr:col>0</xdr:col>
                    <xdr:colOff>19050</xdr:colOff>
                    <xdr:row>27</xdr:row>
                    <xdr:rowOff>90488</xdr:rowOff>
                  </from>
                  <to>
                    <xdr:col>1</xdr:col>
                    <xdr:colOff>500063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6" name="Button 59">
              <controlPr defaultSize="0" print="0" autoFill="0" autoPict="0" macro="[0]!CloseCalendarSpread50">
                <anchor moveWithCells="1" sizeWithCells="1">
                  <from>
                    <xdr:col>0</xdr:col>
                    <xdr:colOff>14288</xdr:colOff>
                    <xdr:row>30</xdr:row>
                    <xdr:rowOff>152400</xdr:rowOff>
                  </from>
                  <to>
                    <xdr:col>1</xdr:col>
                    <xdr:colOff>566738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7" name="Button 60">
              <controlPr defaultSize="0" print="0" autoFill="0" autoPict="0" macro="[0]!OpenCalendarSpread49">
                <anchor moveWithCells="1">
                  <from>
                    <xdr:col>2</xdr:col>
                    <xdr:colOff>28575</xdr:colOff>
                    <xdr:row>27</xdr:row>
                    <xdr:rowOff>90488</xdr:rowOff>
                  </from>
                  <to>
                    <xdr:col>5</xdr:col>
                    <xdr:colOff>76200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8" name="Button 61">
              <controlPr defaultSize="0" print="0" autoFill="0" autoPict="0" macro="[0]!CloseCalendarSpread49">
                <anchor moveWithCells="1" sizeWithCells="1">
                  <from>
                    <xdr:col>2</xdr:col>
                    <xdr:colOff>19050</xdr:colOff>
                    <xdr:row>30</xdr:row>
                    <xdr:rowOff>171450</xdr:rowOff>
                  </from>
                  <to>
                    <xdr:col>4</xdr:col>
                    <xdr:colOff>104775</xdr:colOff>
                    <xdr:row>32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9" name="Button 62">
              <controlPr defaultSize="0" print="0" autoFill="0" autoPict="0" macro="[0]!OpenCalendarSpread48">
                <anchor moveWithCells="1">
                  <from>
                    <xdr:col>5</xdr:col>
                    <xdr:colOff>23813</xdr:colOff>
                    <xdr:row>27</xdr:row>
                    <xdr:rowOff>57150</xdr:rowOff>
                  </from>
                  <to>
                    <xdr:col>8</xdr:col>
                    <xdr:colOff>138113</xdr:colOff>
                    <xdr:row>28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0" name="Button 63">
              <controlPr defaultSize="0" print="0" autoFill="0" autoPict="0" macro="[0]!CloseCalendarSpread48">
                <anchor moveWithCells="1" sizeWithCells="1">
                  <from>
                    <xdr:col>5</xdr:col>
                    <xdr:colOff>9525</xdr:colOff>
                    <xdr:row>30</xdr:row>
                    <xdr:rowOff>61913</xdr:rowOff>
                  </from>
                  <to>
                    <xdr:col>8</xdr:col>
                    <xdr:colOff>128588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Button 64">
              <controlPr defaultSize="0" print="0" autoFill="0" autoPict="0" macro="[0]!deltaHedge">
                <anchor moveWithCells="1" sizeWithCells="1">
                  <from>
                    <xdr:col>31</xdr:col>
                    <xdr:colOff>9525</xdr:colOff>
                    <xdr:row>6</xdr:row>
                    <xdr:rowOff>119063</xdr:rowOff>
                  </from>
                  <to>
                    <xdr:col>33</xdr:col>
                    <xdr:colOff>38100</xdr:colOff>
                    <xdr:row>9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2" name="Button 65">
              <controlPr defaultSize="0" print="0" autoFill="0" autoPict="0" macro="[0]!CloseStockPostion">
                <anchor moveWithCells="1" sizeWithCells="1">
                  <from>
                    <xdr:col>31</xdr:col>
                    <xdr:colOff>147638</xdr:colOff>
                    <xdr:row>10</xdr:row>
                    <xdr:rowOff>123825</xdr:rowOff>
                  </from>
                  <to>
                    <xdr:col>33</xdr:col>
                    <xdr:colOff>185738</xdr:colOff>
                    <xdr:row>11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3" name="Button 69">
              <controlPr defaultSize="0" print="0" autoFill="0" autoPict="0" macro="[0]!'openStraddle 45, 1, 2'">
                <anchor moveWithCells="1">
                  <from>
                    <xdr:col>14</xdr:col>
                    <xdr:colOff>71438</xdr:colOff>
                    <xdr:row>1</xdr:row>
                    <xdr:rowOff>14288</xdr:rowOff>
                  </from>
                  <to>
                    <xdr:col>14</xdr:col>
                    <xdr:colOff>590550</xdr:colOff>
                    <xdr:row>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4" name="Button 70">
              <controlPr defaultSize="0" print="0" autoFill="0" autoPict="0" macro="[0]!'openStraddle 46, 1, 3'">
                <anchor moveWithCells="1">
                  <from>
                    <xdr:col>14</xdr:col>
                    <xdr:colOff>71438</xdr:colOff>
                    <xdr:row>2</xdr:row>
                    <xdr:rowOff>14288</xdr:rowOff>
                  </from>
                  <to>
                    <xdr:col>14</xdr:col>
                    <xdr:colOff>590550</xdr:colOff>
                    <xdr:row>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5" name="Button 71">
              <controlPr defaultSize="0" print="0" autoFill="0" autoPict="0" macro="[0]!'openStraddle 47, 1, 4'">
                <anchor moveWithCells="1">
                  <from>
                    <xdr:col>14</xdr:col>
                    <xdr:colOff>71438</xdr:colOff>
                    <xdr:row>3</xdr:row>
                    <xdr:rowOff>14288</xdr:rowOff>
                  </from>
                  <to>
                    <xdr:col>14</xdr:col>
                    <xdr:colOff>590550</xdr:colOff>
                    <xdr:row>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6" name="Button 72">
              <controlPr defaultSize="0" print="0" autoFill="0" autoPict="0" macro="[0]!'openStraddle 47, 2, 14'">
                <anchor moveWithCells="1">
                  <from>
                    <xdr:col>14</xdr:col>
                    <xdr:colOff>71438</xdr:colOff>
                    <xdr:row>13</xdr:row>
                    <xdr:rowOff>14288</xdr:rowOff>
                  </from>
                  <to>
                    <xdr:col>14</xdr:col>
                    <xdr:colOff>590550</xdr:colOff>
                    <xdr:row>13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7" name="Button 73">
              <controlPr defaultSize="0" print="0" autoFill="0" autoPict="0" macro="[0]!'openStraddle 48, 1, 5'">
                <anchor moveWithCells="1">
                  <from>
                    <xdr:col>14</xdr:col>
                    <xdr:colOff>71438</xdr:colOff>
                    <xdr:row>4</xdr:row>
                    <xdr:rowOff>14288</xdr:rowOff>
                  </from>
                  <to>
                    <xdr:col>14</xdr:col>
                    <xdr:colOff>590550</xdr:colOff>
                    <xdr:row>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8" name="Button 74">
              <controlPr defaultSize="0" print="0" autoFill="0" autoPict="0" macro="[0]!'openStraddle 49, 1, 6'">
                <anchor moveWithCells="1">
                  <from>
                    <xdr:col>14</xdr:col>
                    <xdr:colOff>71438</xdr:colOff>
                    <xdr:row>5</xdr:row>
                    <xdr:rowOff>14288</xdr:rowOff>
                  </from>
                  <to>
                    <xdr:col>14</xdr:col>
                    <xdr:colOff>590550</xdr:colOff>
                    <xdr:row>5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9" name="Button 75">
              <controlPr defaultSize="0" print="0" autoFill="0" autoPict="0" macro="[0]!'openStraddle 50, 1, 7'">
                <anchor moveWithCells="1">
                  <from>
                    <xdr:col>14</xdr:col>
                    <xdr:colOff>71438</xdr:colOff>
                    <xdr:row>6</xdr:row>
                    <xdr:rowOff>14288</xdr:rowOff>
                  </from>
                  <to>
                    <xdr:col>14</xdr:col>
                    <xdr:colOff>590550</xdr:colOff>
                    <xdr:row>6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0" name="Button 76">
              <controlPr defaultSize="0" print="0" autoFill="0" autoPict="0" macro="[0]!'openStraddle 51, 1, 8'">
                <anchor moveWithCells="1">
                  <from>
                    <xdr:col>14</xdr:col>
                    <xdr:colOff>71438</xdr:colOff>
                    <xdr:row>7</xdr:row>
                    <xdr:rowOff>14288</xdr:rowOff>
                  </from>
                  <to>
                    <xdr:col>14</xdr:col>
                    <xdr:colOff>590550</xdr:colOff>
                    <xdr:row>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1" name="Button 77">
              <controlPr defaultSize="0" print="0" autoFill="0" autoPict="0" macro="[0]!'openStraddle 52, 1, 9'">
                <anchor moveWithCells="1">
                  <from>
                    <xdr:col>14</xdr:col>
                    <xdr:colOff>71438</xdr:colOff>
                    <xdr:row>8</xdr:row>
                    <xdr:rowOff>14288</xdr:rowOff>
                  </from>
                  <to>
                    <xdr:col>14</xdr:col>
                    <xdr:colOff>590550</xdr:colOff>
                    <xdr:row>8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2" name="Button 78">
              <controlPr defaultSize="0" print="0" autoFill="0" autoPict="0" macro="[0]!'openStraddle 53, 1, 10'">
                <anchor moveWithCells="1">
                  <from>
                    <xdr:col>14</xdr:col>
                    <xdr:colOff>71438</xdr:colOff>
                    <xdr:row>9</xdr:row>
                    <xdr:rowOff>14288</xdr:rowOff>
                  </from>
                  <to>
                    <xdr:col>14</xdr:col>
                    <xdr:colOff>590550</xdr:colOff>
                    <xdr:row>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3" name="Button 79">
              <controlPr defaultSize="0" print="0" autoFill="0" autoPict="0" macro="[0]!'openStraddle 54, 1, 11'">
                <anchor moveWithCells="1">
                  <from>
                    <xdr:col>14</xdr:col>
                    <xdr:colOff>71438</xdr:colOff>
                    <xdr:row>10</xdr:row>
                    <xdr:rowOff>14288</xdr:rowOff>
                  </from>
                  <to>
                    <xdr:col>14</xdr:col>
                    <xdr:colOff>590550</xdr:colOff>
                    <xdr:row>10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4" name="Button 80">
              <controlPr defaultSize="0" print="0" autoFill="0" autoPict="0" macro="[0]!'openStraddle 45, 2, 12'">
                <anchor moveWithCells="1">
                  <from>
                    <xdr:col>14</xdr:col>
                    <xdr:colOff>71438</xdr:colOff>
                    <xdr:row>11</xdr:row>
                    <xdr:rowOff>14288</xdr:rowOff>
                  </from>
                  <to>
                    <xdr:col>14</xdr:col>
                    <xdr:colOff>590550</xdr:colOff>
                    <xdr:row>11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5" name="Button 81">
              <controlPr defaultSize="0" print="0" autoFill="0" autoPict="0" macro="[0]!'openStraddle 46, 2, 13'">
                <anchor moveWithCells="1">
                  <from>
                    <xdr:col>14</xdr:col>
                    <xdr:colOff>71438</xdr:colOff>
                    <xdr:row>12</xdr:row>
                    <xdr:rowOff>14288</xdr:rowOff>
                  </from>
                  <to>
                    <xdr:col>14</xdr:col>
                    <xdr:colOff>590550</xdr:colOff>
                    <xdr:row>12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6" name="Button 82">
              <controlPr defaultSize="0" print="0" autoFill="0" autoPict="0" macro="[0]!'openStraddle 48, 2, 15'">
                <anchor moveWithCells="1">
                  <from>
                    <xdr:col>14</xdr:col>
                    <xdr:colOff>71438</xdr:colOff>
                    <xdr:row>14</xdr:row>
                    <xdr:rowOff>14288</xdr:rowOff>
                  </from>
                  <to>
                    <xdr:col>14</xdr:col>
                    <xdr:colOff>590550</xdr:colOff>
                    <xdr:row>14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7" name="Button 83">
              <controlPr defaultSize="0" print="0" autoFill="0" autoPict="0" macro="[0]!'openStraddle 49, 2, 16'">
                <anchor moveWithCells="1">
                  <from>
                    <xdr:col>14</xdr:col>
                    <xdr:colOff>71438</xdr:colOff>
                    <xdr:row>15</xdr:row>
                    <xdr:rowOff>14288</xdr:rowOff>
                  </from>
                  <to>
                    <xdr:col>14</xdr:col>
                    <xdr:colOff>590550</xdr:colOff>
                    <xdr:row>15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8" name="Button 84">
              <controlPr defaultSize="0" print="0" autoFill="0" autoPict="0" macro="[0]!'openStraddle 50, 2, 17'">
                <anchor moveWithCells="1">
                  <from>
                    <xdr:col>14</xdr:col>
                    <xdr:colOff>71438</xdr:colOff>
                    <xdr:row>16</xdr:row>
                    <xdr:rowOff>14288</xdr:rowOff>
                  </from>
                  <to>
                    <xdr:col>14</xdr:col>
                    <xdr:colOff>590550</xdr:colOff>
                    <xdr:row>16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9" name="Button 85">
              <controlPr defaultSize="0" print="0" autoFill="0" autoPict="0" macro="[0]!'openStraddle 51, 2, 18'">
                <anchor moveWithCells="1">
                  <from>
                    <xdr:col>14</xdr:col>
                    <xdr:colOff>71438</xdr:colOff>
                    <xdr:row>17</xdr:row>
                    <xdr:rowOff>14288</xdr:rowOff>
                  </from>
                  <to>
                    <xdr:col>14</xdr:col>
                    <xdr:colOff>590550</xdr:colOff>
                    <xdr:row>17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0" name="Button 86">
              <controlPr defaultSize="0" print="0" autoFill="0" autoPict="0" macro="[0]!'openStraddle 52, 2, 19'">
                <anchor moveWithCells="1">
                  <from>
                    <xdr:col>14</xdr:col>
                    <xdr:colOff>71438</xdr:colOff>
                    <xdr:row>18</xdr:row>
                    <xdr:rowOff>14288</xdr:rowOff>
                  </from>
                  <to>
                    <xdr:col>14</xdr:col>
                    <xdr:colOff>590550</xdr:colOff>
                    <xdr:row>18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1" name="Button 87">
              <controlPr defaultSize="0" print="0" autoFill="0" autoPict="0" macro="[0]!'openStraddle 53, 2, 20'">
                <anchor moveWithCells="1">
                  <from>
                    <xdr:col>14</xdr:col>
                    <xdr:colOff>71438</xdr:colOff>
                    <xdr:row>19</xdr:row>
                    <xdr:rowOff>14288</xdr:rowOff>
                  </from>
                  <to>
                    <xdr:col>14</xdr:col>
                    <xdr:colOff>590550</xdr:colOff>
                    <xdr:row>19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2" name="Button 88">
              <controlPr defaultSize="0" print="0" autoFill="0" autoPict="0" macro="[0]!'openStraddle 54, 2, 21'">
                <anchor moveWithCells="1">
                  <from>
                    <xdr:col>14</xdr:col>
                    <xdr:colOff>71438</xdr:colOff>
                    <xdr:row>20</xdr:row>
                    <xdr:rowOff>14288</xdr:rowOff>
                  </from>
                  <to>
                    <xdr:col>14</xdr:col>
                    <xdr:colOff>590550</xdr:colOff>
                    <xdr:row>20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3" name="Button 95">
              <controlPr defaultSize="0" print="0" autoFill="0" autoPict="0" macro="[0]!'closeStraddle 45, 1, 2'">
                <anchor moveWithCells="1">
                  <from>
                    <xdr:col>15</xdr:col>
                    <xdr:colOff>71438</xdr:colOff>
                    <xdr:row>1</xdr:row>
                    <xdr:rowOff>14288</xdr:rowOff>
                  </from>
                  <to>
                    <xdr:col>15</xdr:col>
                    <xdr:colOff>590550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4" name="Button 96">
              <controlPr defaultSize="0" print="0" autoFill="0" autoPict="0" macro="[0]!'closeStraddle 46, 1, 3'">
                <anchor moveWithCells="1">
                  <from>
                    <xdr:col>15</xdr:col>
                    <xdr:colOff>71438</xdr:colOff>
                    <xdr:row>2</xdr:row>
                    <xdr:rowOff>14288</xdr:rowOff>
                  </from>
                  <to>
                    <xdr:col>15</xdr:col>
                    <xdr:colOff>590550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5" name="Button 97">
              <controlPr defaultSize="0" print="0" autoFill="0" autoPict="0" macro="[0]!'closeStraddle 47, 1, 4'">
                <anchor moveWithCells="1">
                  <from>
                    <xdr:col>15</xdr:col>
                    <xdr:colOff>71438</xdr:colOff>
                    <xdr:row>3</xdr:row>
                    <xdr:rowOff>14288</xdr:rowOff>
                  </from>
                  <to>
                    <xdr:col>15</xdr:col>
                    <xdr:colOff>590550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6" name="Button 98">
              <controlPr defaultSize="0" print="0" autoFill="0" autoPict="0" macro="[0]!'closeStraddle 48, 1, 5'">
                <anchor moveWithCells="1">
                  <from>
                    <xdr:col>15</xdr:col>
                    <xdr:colOff>71438</xdr:colOff>
                    <xdr:row>4</xdr:row>
                    <xdr:rowOff>14288</xdr:rowOff>
                  </from>
                  <to>
                    <xdr:col>15</xdr:col>
                    <xdr:colOff>590550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77" name="Button 99">
              <controlPr defaultSize="0" print="0" autoFill="0" autoPict="0" macro="[0]!'closeStraddle 49, 1, 6'">
                <anchor moveWithCells="1">
                  <from>
                    <xdr:col>15</xdr:col>
                    <xdr:colOff>76200</xdr:colOff>
                    <xdr:row>5</xdr:row>
                    <xdr:rowOff>19050</xdr:rowOff>
                  </from>
                  <to>
                    <xdr:col>15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78" name="Button 100">
              <controlPr defaultSize="0" print="0" autoFill="0" autoPict="0" macro="[0]!'closeStraddle 50, 1, 7'">
                <anchor moveWithCells="1">
                  <from>
                    <xdr:col>15</xdr:col>
                    <xdr:colOff>76200</xdr:colOff>
                    <xdr:row>6</xdr:row>
                    <xdr:rowOff>19050</xdr:rowOff>
                  </from>
                  <to>
                    <xdr:col>15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79" name="Button 101">
              <controlPr defaultSize="0" print="0" autoFill="0" autoPict="0" macro="[0]!'closeStraddle 51, 1, 8'">
                <anchor moveWithCells="1">
                  <from>
                    <xdr:col>15</xdr:col>
                    <xdr:colOff>71438</xdr:colOff>
                    <xdr:row>7</xdr:row>
                    <xdr:rowOff>14288</xdr:rowOff>
                  </from>
                  <to>
                    <xdr:col>15</xdr:col>
                    <xdr:colOff>590550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0" name="Button 102">
              <controlPr defaultSize="0" print="0" autoFill="0" autoPict="0" macro="[0]!'closeStraddle 52, 1, 9'">
                <anchor moveWithCells="1">
                  <from>
                    <xdr:col>15</xdr:col>
                    <xdr:colOff>71438</xdr:colOff>
                    <xdr:row>8</xdr:row>
                    <xdr:rowOff>14288</xdr:rowOff>
                  </from>
                  <to>
                    <xdr:col>15</xdr:col>
                    <xdr:colOff>590550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1" name="Button 103">
              <controlPr defaultSize="0" print="0" autoFill="0" autoPict="0" macro="[0]!'closeStraddle 53, 1, 10'">
                <anchor moveWithCells="1">
                  <from>
                    <xdr:col>15</xdr:col>
                    <xdr:colOff>71438</xdr:colOff>
                    <xdr:row>9</xdr:row>
                    <xdr:rowOff>14288</xdr:rowOff>
                  </from>
                  <to>
                    <xdr:col>15</xdr:col>
                    <xdr:colOff>590550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2" name="Button 104">
              <controlPr defaultSize="0" print="0" autoFill="0" autoPict="0" macro="[0]!'closeStraddle 54, 1, 11'">
                <anchor moveWithCells="1">
                  <from>
                    <xdr:col>15</xdr:col>
                    <xdr:colOff>71438</xdr:colOff>
                    <xdr:row>10</xdr:row>
                    <xdr:rowOff>14288</xdr:rowOff>
                  </from>
                  <to>
                    <xdr:col>15</xdr:col>
                    <xdr:colOff>590550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83" name="Button 105">
              <controlPr defaultSize="0" print="0" autoFill="0" autoPict="0" macro="[0]!'closeStraddle 45, 2, 12'">
                <anchor moveWithCells="1">
                  <from>
                    <xdr:col>15</xdr:col>
                    <xdr:colOff>71438</xdr:colOff>
                    <xdr:row>11</xdr:row>
                    <xdr:rowOff>14288</xdr:rowOff>
                  </from>
                  <to>
                    <xdr:col>15</xdr:col>
                    <xdr:colOff>590550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84" name="Button 106">
              <controlPr defaultSize="0" print="0" autoFill="0" autoPict="0" macro="[0]!'closeStraddle 46, 2, 13'">
                <anchor moveWithCells="1">
                  <from>
                    <xdr:col>15</xdr:col>
                    <xdr:colOff>71438</xdr:colOff>
                    <xdr:row>12</xdr:row>
                    <xdr:rowOff>14288</xdr:rowOff>
                  </from>
                  <to>
                    <xdr:col>15</xdr:col>
                    <xdr:colOff>590550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85" name="Button 107">
              <controlPr defaultSize="0" print="0" autoFill="0" autoPict="0" macro="[0]!'closeStraddle 47, 2, 14'">
                <anchor moveWithCells="1">
                  <from>
                    <xdr:col>15</xdr:col>
                    <xdr:colOff>71438</xdr:colOff>
                    <xdr:row>13</xdr:row>
                    <xdr:rowOff>14288</xdr:rowOff>
                  </from>
                  <to>
                    <xdr:col>15</xdr:col>
                    <xdr:colOff>590550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86" name="Button 108">
              <controlPr defaultSize="0" print="0" autoFill="0" autoPict="0" macro="[0]!'closeStraddle 48, 2, 15'">
                <anchor moveWithCells="1">
                  <from>
                    <xdr:col>15</xdr:col>
                    <xdr:colOff>71438</xdr:colOff>
                    <xdr:row>14</xdr:row>
                    <xdr:rowOff>14288</xdr:rowOff>
                  </from>
                  <to>
                    <xdr:col>15</xdr:col>
                    <xdr:colOff>590550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87" name="Button 109">
              <controlPr defaultSize="0" print="0" autoFill="0" autoPict="0" macro="[0]!'closeStraddle 49, 2, 16'">
                <anchor moveWithCells="1">
                  <from>
                    <xdr:col>15</xdr:col>
                    <xdr:colOff>71438</xdr:colOff>
                    <xdr:row>15</xdr:row>
                    <xdr:rowOff>14288</xdr:rowOff>
                  </from>
                  <to>
                    <xdr:col>15</xdr:col>
                    <xdr:colOff>590550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88" name="Button 110">
              <controlPr defaultSize="0" print="0" autoFill="0" autoPict="0" macro="[0]!'closeStraddle 50, 2, 17'">
                <anchor moveWithCells="1">
                  <from>
                    <xdr:col>15</xdr:col>
                    <xdr:colOff>71438</xdr:colOff>
                    <xdr:row>16</xdr:row>
                    <xdr:rowOff>14288</xdr:rowOff>
                  </from>
                  <to>
                    <xdr:col>15</xdr:col>
                    <xdr:colOff>590550</xdr:colOff>
                    <xdr:row>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89" name="Button 111">
              <controlPr defaultSize="0" print="0" autoFill="0" autoPict="0" macro="[0]!'closeStraddle  51, 2, 18'">
                <anchor moveWithCells="1">
                  <from>
                    <xdr:col>15</xdr:col>
                    <xdr:colOff>71438</xdr:colOff>
                    <xdr:row>17</xdr:row>
                    <xdr:rowOff>14288</xdr:rowOff>
                  </from>
                  <to>
                    <xdr:col>15</xdr:col>
                    <xdr:colOff>590550</xdr:colOff>
                    <xdr:row>17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90" name="Button 112">
              <controlPr defaultSize="0" print="0" autoFill="0" autoPict="0" macro="[0]!'closeStraddle 52, 2, 19'">
                <anchor moveWithCells="1">
                  <from>
                    <xdr:col>15</xdr:col>
                    <xdr:colOff>71438</xdr:colOff>
                    <xdr:row>18</xdr:row>
                    <xdr:rowOff>14288</xdr:rowOff>
                  </from>
                  <to>
                    <xdr:col>15</xdr:col>
                    <xdr:colOff>590550</xdr:colOff>
                    <xdr:row>18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1" name="Button 113">
              <controlPr defaultSize="0" print="0" autoFill="0" autoPict="0" macro="[0]!'closeStraddle 53, 2, 20'">
                <anchor moveWithCells="1">
                  <from>
                    <xdr:col>15</xdr:col>
                    <xdr:colOff>71438</xdr:colOff>
                    <xdr:row>19</xdr:row>
                    <xdr:rowOff>14288</xdr:rowOff>
                  </from>
                  <to>
                    <xdr:col>15</xdr:col>
                    <xdr:colOff>590550</xdr:colOff>
                    <xdr:row>19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92" name="Button 114">
              <controlPr defaultSize="0" print="0" autoFill="0" autoPict="0" macro="[0]!'closeStraddle 54, 2, 21'">
                <anchor moveWithCells="1">
                  <from>
                    <xdr:col>15</xdr:col>
                    <xdr:colOff>71438</xdr:colOff>
                    <xdr:row>20</xdr:row>
                    <xdr:rowOff>14288</xdr:rowOff>
                  </from>
                  <to>
                    <xdr:col>15</xdr:col>
                    <xdr:colOff>590550</xdr:colOff>
                    <xdr:row>20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16D42-2A9F-449F-9B78-9BCE248A989A}">
  <sheetPr codeName="Sheet4"/>
  <dimension ref="A1:M42"/>
  <sheetViews>
    <sheetView workbookViewId="0">
      <selection activeCell="G5" sqref="G5"/>
    </sheetView>
  </sheetViews>
  <sheetFormatPr defaultRowHeight="14.25"/>
  <sheetData>
    <row r="1" spans="1:13">
      <c r="A1" s="3" t="s">
        <v>61</v>
      </c>
      <c r="B1" t="s">
        <v>64</v>
      </c>
      <c r="C1" t="s">
        <v>63</v>
      </c>
      <c r="D1" t="s">
        <v>60</v>
      </c>
      <c r="E1" t="s">
        <v>65</v>
      </c>
      <c r="F1" t="s">
        <v>62</v>
      </c>
      <c r="G1" t="s">
        <v>78</v>
      </c>
      <c r="H1" t="s">
        <v>6</v>
      </c>
      <c r="I1" t="s">
        <v>66</v>
      </c>
      <c r="J1" t="s">
        <v>67</v>
      </c>
      <c r="L1" t="s">
        <v>68</v>
      </c>
      <c r="M1" t="s">
        <v>69</v>
      </c>
    </row>
    <row r="2" spans="1:13">
      <c r="A2" s="3" t="s">
        <v>0</v>
      </c>
      <c r="B2">
        <f>RTD("rit2.rtd",,$A2,"LAST")</f>
        <v>48.66</v>
      </c>
      <c r="G2">
        <v>1</v>
      </c>
      <c r="H2">
        <f>RTD("rit2.rtd",,A2,"POSITION")</f>
        <v>0</v>
      </c>
      <c r="I2">
        <f>SUMPRODUCT($G$2:$G$42, $H$2:$H$42)</f>
        <v>0</v>
      </c>
      <c r="J2" t="e">
        <f ca="1">IF(ABS(I3)&gt;L2, (ABS(I3)-L2)*M2, 0)</f>
        <v>#VALUE!</v>
      </c>
      <c r="L2" t="e">
        <f ca="1">News!B6</f>
        <v>#VALUE!</v>
      </c>
      <c r="M2" t="e">
        <f>News!B7</f>
        <v>#VALUE!</v>
      </c>
    </row>
    <row r="3" spans="1:13">
      <c r="A3" s="3" t="s">
        <v>7</v>
      </c>
      <c r="B3">
        <f>RTD("rit2.rtd",,$A3,"LAST")</f>
        <v>2.64</v>
      </c>
      <c r="C3">
        <v>1</v>
      </c>
      <c r="D3">
        <v>45</v>
      </c>
      <c r="E3">
        <v>1</v>
      </c>
      <c r="F3">
        <f>IF(E3=1, Strategies!$B$6, Strategies!$B$7)</f>
        <v>0</v>
      </c>
      <c r="G3">
        <f t="shared" ref="G3:G42" si="0">Black_Scholes($B$2,$D3,0,0,$B3,$F3,$C3,0,0,6)</f>
        <v>0</v>
      </c>
      <c r="H3">
        <f>RTD("rit2.rtd",,A3,"POSITION")</f>
        <v>0</v>
      </c>
    </row>
    <row r="4" spans="1:13">
      <c r="A4" s="3" t="s">
        <v>8</v>
      </c>
      <c r="B4">
        <f>RTD("rit2.rtd",,$A4,"LAST")</f>
        <v>0.02</v>
      </c>
      <c r="C4">
        <v>0</v>
      </c>
      <c r="D4">
        <v>45</v>
      </c>
      <c r="E4">
        <v>1</v>
      </c>
      <c r="F4">
        <f>IF(E4=1, Strategies!$B$6, Strategies!$B$7)</f>
        <v>0</v>
      </c>
      <c r="G4">
        <f t="shared" si="0"/>
        <v>0</v>
      </c>
      <c r="H4">
        <f>RTD("rit2.rtd",,A4,"POSITION")</f>
        <v>0</v>
      </c>
    </row>
    <row r="5" spans="1:13">
      <c r="A5" s="3" t="s">
        <v>9</v>
      </c>
      <c r="B5">
        <f>RTD("rit2.rtd",,$A5,"LAST")</f>
        <v>1.64</v>
      </c>
      <c r="C5">
        <v>1</v>
      </c>
      <c r="D5">
        <v>46</v>
      </c>
      <c r="E5">
        <v>1</v>
      </c>
      <c r="F5">
        <f>IF(E5=1, Strategies!$B$6, Strategies!$B$7)</f>
        <v>0</v>
      </c>
      <c r="G5">
        <f t="shared" si="0"/>
        <v>0</v>
      </c>
      <c r="H5">
        <f>RTD("rit2.rtd",,A5,"POSITION")</f>
        <v>0</v>
      </c>
    </row>
    <row r="6" spans="1:13">
      <c r="A6" s="3" t="s">
        <v>10</v>
      </c>
      <c r="B6">
        <f>RTD("rit2.rtd",,$A6,"LAST")</f>
        <v>0.02</v>
      </c>
      <c r="C6">
        <v>0</v>
      </c>
      <c r="D6">
        <v>46</v>
      </c>
      <c r="E6">
        <v>1</v>
      </c>
      <c r="F6">
        <f>IF(E6=1, Strategies!$B$6, Strategies!$B$7)</f>
        <v>0</v>
      </c>
      <c r="G6">
        <f t="shared" si="0"/>
        <v>0</v>
      </c>
      <c r="H6">
        <f>RTD("rit2.rtd",,A6,"POSITION")</f>
        <v>0</v>
      </c>
    </row>
    <row r="7" spans="1:13">
      <c r="A7" s="3" t="s">
        <v>11</v>
      </c>
      <c r="B7">
        <f>RTD("rit2.rtd",,$A7,"LAST")</f>
        <v>0.64</v>
      </c>
      <c r="C7">
        <v>1</v>
      </c>
      <c r="D7">
        <v>47</v>
      </c>
      <c r="E7">
        <v>1</v>
      </c>
      <c r="F7">
        <f>IF(E7=1, Strategies!$B$6, Strategies!$B$7)</f>
        <v>0</v>
      </c>
      <c r="G7">
        <f t="shared" si="0"/>
        <v>0</v>
      </c>
      <c r="H7">
        <f>RTD("rit2.rtd",,A7,"POSITION")</f>
        <v>0</v>
      </c>
    </row>
    <row r="8" spans="1:13">
      <c r="A8" s="3" t="s">
        <v>12</v>
      </c>
      <c r="B8">
        <f>RTD("rit2.rtd",,$A8,"LAST")</f>
        <v>0.02</v>
      </c>
      <c r="C8">
        <v>0</v>
      </c>
      <c r="D8">
        <v>47</v>
      </c>
      <c r="E8">
        <v>1</v>
      </c>
      <c r="F8">
        <f>IF(E8=1, Strategies!$B$6, Strategies!$B$7)</f>
        <v>0</v>
      </c>
      <c r="G8">
        <f t="shared" si="0"/>
        <v>0</v>
      </c>
      <c r="H8">
        <f>RTD("rit2.rtd",,A8,"POSITION")</f>
        <v>0</v>
      </c>
    </row>
    <row r="9" spans="1:13">
      <c r="A9" s="3" t="s">
        <v>13</v>
      </c>
      <c r="B9">
        <f>RTD("rit2.rtd",,$A9,"LAST")</f>
        <v>0.02</v>
      </c>
      <c r="C9">
        <v>1</v>
      </c>
      <c r="D9">
        <v>48</v>
      </c>
      <c r="E9">
        <v>1</v>
      </c>
      <c r="F9">
        <f>IF(E9=1, Strategies!$B$6, Strategies!$B$7)</f>
        <v>0</v>
      </c>
      <c r="G9">
        <f t="shared" si="0"/>
        <v>0</v>
      </c>
      <c r="H9">
        <f>RTD("rit2.rtd",,A9,"POSITION")</f>
        <v>0</v>
      </c>
    </row>
    <row r="10" spans="1:13">
      <c r="A10" s="3" t="s">
        <v>14</v>
      </c>
      <c r="B10">
        <f>RTD("rit2.rtd",,$A10,"LAST")</f>
        <v>0.36</v>
      </c>
      <c r="C10">
        <v>0</v>
      </c>
      <c r="D10">
        <v>48</v>
      </c>
      <c r="E10">
        <v>1</v>
      </c>
      <c r="F10">
        <f>IF(E10=1, Strategies!$B$6, Strategies!$B$7)</f>
        <v>0</v>
      </c>
      <c r="G10">
        <f t="shared" si="0"/>
        <v>0</v>
      </c>
      <c r="H10">
        <f>RTD("rit2.rtd",,A10,"POSITION")</f>
        <v>0</v>
      </c>
    </row>
    <row r="11" spans="1:13">
      <c r="A11" s="3" t="s">
        <v>15</v>
      </c>
      <c r="B11">
        <f>RTD("rit2.rtd",,$A11,"LAST")</f>
        <v>0.02</v>
      </c>
      <c r="C11">
        <v>1</v>
      </c>
      <c r="D11">
        <v>49</v>
      </c>
      <c r="E11">
        <v>1</v>
      </c>
      <c r="F11">
        <f>IF(E11=1, Strategies!$B$6, Strategies!$B$7)</f>
        <v>0</v>
      </c>
      <c r="G11">
        <f t="shared" si="0"/>
        <v>0</v>
      </c>
      <c r="H11">
        <f>RTD("rit2.rtd",,A11,"POSITION")</f>
        <v>0</v>
      </c>
    </row>
    <row r="12" spans="1:13">
      <c r="A12" s="3" t="s">
        <v>16</v>
      </c>
      <c r="B12">
        <f>RTD("rit2.rtd",,$A12,"LAST")</f>
        <v>1.36</v>
      </c>
      <c r="C12">
        <v>0</v>
      </c>
      <c r="D12">
        <v>49</v>
      </c>
      <c r="E12">
        <v>1</v>
      </c>
      <c r="F12">
        <f>IF(E12=1, Strategies!$B$6, Strategies!$B$7)</f>
        <v>0</v>
      </c>
      <c r="G12">
        <f t="shared" si="0"/>
        <v>0</v>
      </c>
      <c r="H12">
        <f>RTD("rit2.rtd",,A12,"POSITION")</f>
        <v>0</v>
      </c>
    </row>
    <row r="13" spans="1:13">
      <c r="A13" s="3" t="s">
        <v>17</v>
      </c>
      <c r="B13">
        <f>RTD("rit2.rtd",,$A13,"LAST")</f>
        <v>0.02</v>
      </c>
      <c r="C13">
        <v>1</v>
      </c>
      <c r="D13">
        <v>50</v>
      </c>
      <c r="E13">
        <v>1</v>
      </c>
      <c r="F13">
        <f>IF(E13=1, Strategies!$B$6, Strategies!$B$7)</f>
        <v>0</v>
      </c>
      <c r="G13">
        <f t="shared" si="0"/>
        <v>0</v>
      </c>
      <c r="H13">
        <f>RTD("rit2.rtd",,A13,"POSITION")</f>
        <v>0</v>
      </c>
    </row>
    <row r="14" spans="1:13">
      <c r="A14" s="3" t="s">
        <v>18</v>
      </c>
      <c r="B14">
        <f>RTD("rit2.rtd",,$A14,"LAST")</f>
        <v>2.36</v>
      </c>
      <c r="C14">
        <v>0</v>
      </c>
      <c r="D14">
        <v>50</v>
      </c>
      <c r="E14">
        <v>1</v>
      </c>
      <c r="F14">
        <f>IF(E14=1, Strategies!$B$6, Strategies!$B$7)</f>
        <v>0</v>
      </c>
      <c r="G14">
        <f t="shared" si="0"/>
        <v>0</v>
      </c>
      <c r="H14">
        <f>RTD("rit2.rtd",,A14,"POSITION")</f>
        <v>0</v>
      </c>
    </row>
    <row r="15" spans="1:13">
      <c r="A15" s="3" t="s">
        <v>19</v>
      </c>
      <c r="B15">
        <f>RTD("rit2.rtd",,$A15,"LAST")</f>
        <v>0.02</v>
      </c>
      <c r="C15">
        <v>1</v>
      </c>
      <c r="D15">
        <v>51</v>
      </c>
      <c r="E15">
        <v>1</v>
      </c>
      <c r="F15">
        <f>IF(E15=1, Strategies!$B$6, Strategies!$B$7)</f>
        <v>0</v>
      </c>
      <c r="G15">
        <f t="shared" si="0"/>
        <v>0</v>
      </c>
      <c r="H15">
        <f>RTD("rit2.rtd",,A15,"POSITION")</f>
        <v>0</v>
      </c>
    </row>
    <row r="16" spans="1:13">
      <c r="A16" s="3" t="s">
        <v>20</v>
      </c>
      <c r="B16">
        <f>RTD("rit2.rtd",,$A16,"LAST")</f>
        <v>3.36</v>
      </c>
      <c r="C16">
        <v>0</v>
      </c>
      <c r="D16">
        <v>51</v>
      </c>
      <c r="E16">
        <v>1</v>
      </c>
      <c r="F16">
        <f>IF(E16=1, Strategies!$B$6, Strategies!$B$7)</f>
        <v>0</v>
      </c>
      <c r="G16">
        <f t="shared" si="0"/>
        <v>0</v>
      </c>
      <c r="H16">
        <f>RTD("rit2.rtd",,A16,"POSITION")</f>
        <v>0</v>
      </c>
    </row>
    <row r="17" spans="1:8">
      <c r="A17" s="3" t="s">
        <v>21</v>
      </c>
      <c r="B17">
        <f>RTD("rit2.rtd",,$A17,"LAST")</f>
        <v>0.02</v>
      </c>
      <c r="C17">
        <v>1</v>
      </c>
      <c r="D17">
        <v>52</v>
      </c>
      <c r="E17">
        <v>1</v>
      </c>
      <c r="F17">
        <f>IF(E17=1, Strategies!$B$6, Strategies!$B$7)</f>
        <v>0</v>
      </c>
      <c r="G17">
        <f t="shared" si="0"/>
        <v>0</v>
      </c>
      <c r="H17">
        <f>RTD("rit2.rtd",,A17,"POSITION")</f>
        <v>0</v>
      </c>
    </row>
    <row r="18" spans="1:8">
      <c r="A18" s="3" t="s">
        <v>22</v>
      </c>
      <c r="B18">
        <f>RTD("rit2.rtd",,$A18,"LAST")</f>
        <v>4.3600000000000003</v>
      </c>
      <c r="C18">
        <v>0</v>
      </c>
      <c r="D18">
        <v>52</v>
      </c>
      <c r="E18">
        <v>1</v>
      </c>
      <c r="F18">
        <f>IF(E18=1, Strategies!$B$6, Strategies!$B$7)</f>
        <v>0</v>
      </c>
      <c r="G18">
        <f t="shared" si="0"/>
        <v>0</v>
      </c>
      <c r="H18">
        <f>RTD("rit2.rtd",,A18,"POSITION")</f>
        <v>0</v>
      </c>
    </row>
    <row r="19" spans="1:8">
      <c r="A19" s="3" t="s">
        <v>23</v>
      </c>
      <c r="B19">
        <f>RTD("rit2.rtd",,$A19,"LAST")</f>
        <v>0.02</v>
      </c>
      <c r="C19">
        <v>1</v>
      </c>
      <c r="D19">
        <v>53</v>
      </c>
      <c r="E19">
        <v>1</v>
      </c>
      <c r="F19">
        <f>IF(E19=1, Strategies!$B$6, Strategies!$B$7)</f>
        <v>0</v>
      </c>
      <c r="G19">
        <f t="shared" si="0"/>
        <v>0</v>
      </c>
      <c r="H19">
        <f>RTD("rit2.rtd",,A19,"POSITION")</f>
        <v>0</v>
      </c>
    </row>
    <row r="20" spans="1:8">
      <c r="A20" s="3" t="s">
        <v>24</v>
      </c>
      <c r="B20">
        <f>RTD("rit2.rtd",,$A20,"LAST")</f>
        <v>5.36</v>
      </c>
      <c r="C20">
        <v>0</v>
      </c>
      <c r="D20">
        <v>53</v>
      </c>
      <c r="E20">
        <v>1</v>
      </c>
      <c r="F20">
        <f>IF(E20=1, Strategies!$B$6, Strategies!$B$7)</f>
        <v>0</v>
      </c>
      <c r="G20">
        <f t="shared" si="0"/>
        <v>0</v>
      </c>
      <c r="H20">
        <f>RTD("rit2.rtd",,A20,"POSITION")</f>
        <v>0</v>
      </c>
    </row>
    <row r="21" spans="1:8">
      <c r="A21" s="3" t="s">
        <v>25</v>
      </c>
      <c r="B21">
        <f>RTD("rit2.rtd",,$A21,"LAST")</f>
        <v>0.02</v>
      </c>
      <c r="C21">
        <v>1</v>
      </c>
      <c r="D21">
        <v>54</v>
      </c>
      <c r="E21">
        <v>1</v>
      </c>
      <c r="F21">
        <f>IF(E21=1, Strategies!$B$6, Strategies!$B$7)</f>
        <v>0</v>
      </c>
      <c r="G21">
        <f t="shared" si="0"/>
        <v>0</v>
      </c>
      <c r="H21">
        <f>RTD("rit2.rtd",,A21,"POSITION")</f>
        <v>0</v>
      </c>
    </row>
    <row r="22" spans="1:8">
      <c r="A22" s="3" t="s">
        <v>26</v>
      </c>
      <c r="B22">
        <f>RTD("rit2.rtd",,$A22,"LAST")</f>
        <v>6.36</v>
      </c>
      <c r="C22">
        <v>0</v>
      </c>
      <c r="D22">
        <v>54</v>
      </c>
      <c r="E22">
        <v>1</v>
      </c>
      <c r="F22">
        <f>IF(E22=1, Strategies!$B$6, Strategies!$B$7)</f>
        <v>0</v>
      </c>
      <c r="G22">
        <f t="shared" si="0"/>
        <v>0</v>
      </c>
      <c r="H22">
        <f>RTD("rit2.rtd",,A22,"POSITION")</f>
        <v>0</v>
      </c>
    </row>
    <row r="23" spans="1:8">
      <c r="A23" s="3" t="s">
        <v>27</v>
      </c>
      <c r="B23">
        <f>RTD("rit2.rtd",,$A23,"LAST")</f>
        <v>3.67</v>
      </c>
      <c r="C23">
        <v>1</v>
      </c>
      <c r="D23">
        <v>45</v>
      </c>
      <c r="E23">
        <v>2</v>
      </c>
      <c r="F23">
        <f>IF(E23=1, Strategies!$B$6, Strategies!$B$7)</f>
        <v>2.2222222222222223E-2</v>
      </c>
      <c r="G23">
        <f t="shared" si="0"/>
        <v>0.24548614262149077</v>
      </c>
      <c r="H23">
        <f>RTD("rit2.rtd",,A23,"POSITION")</f>
        <v>0</v>
      </c>
    </row>
    <row r="24" spans="1:8">
      <c r="A24" s="3" t="s">
        <v>28</v>
      </c>
      <c r="B24">
        <f>RTD("rit2.rtd",,$A24,"LAST")</f>
        <v>0.02</v>
      </c>
      <c r="C24">
        <v>0</v>
      </c>
      <c r="D24">
        <v>45</v>
      </c>
      <c r="E24">
        <v>2</v>
      </c>
      <c r="F24">
        <f>IF(E24=1, Strategies!$B$6, Strategies!$B$7)</f>
        <v>2.2222222222222223E-2</v>
      </c>
      <c r="G24">
        <f t="shared" si="0"/>
        <v>0.27321452469481816</v>
      </c>
      <c r="H24">
        <f>RTD("rit2.rtd",,A24,"POSITION")</f>
        <v>0</v>
      </c>
    </row>
    <row r="25" spans="1:8">
      <c r="A25" s="3" t="s">
        <v>29</v>
      </c>
      <c r="B25">
        <f>RTD("rit2.rtd",,$A25,"LAST")</f>
        <v>2.7</v>
      </c>
      <c r="C25">
        <v>1</v>
      </c>
      <c r="D25">
        <v>46</v>
      </c>
      <c r="E25">
        <v>2</v>
      </c>
      <c r="F25">
        <f>IF(E25=1, Strategies!$B$6, Strategies!$B$7)</f>
        <v>2.2222222222222223E-2</v>
      </c>
      <c r="G25">
        <f t="shared" si="0"/>
        <v>0.23742669459217408</v>
      </c>
      <c r="H25">
        <f>RTD("rit2.rtd",,A25,"POSITION")</f>
        <v>0</v>
      </c>
    </row>
    <row r="26" spans="1:8">
      <c r="A26" s="3" t="s">
        <v>30</v>
      </c>
      <c r="B26">
        <f>RTD("rit2.rtd",,$A26,"LAST")</f>
        <v>0.04</v>
      </c>
      <c r="C26">
        <v>0</v>
      </c>
      <c r="D26">
        <v>46</v>
      </c>
      <c r="E26">
        <v>2</v>
      </c>
      <c r="F26">
        <f>IF(E26=1, Strategies!$B$6, Strategies!$B$7)</f>
        <v>2.2222222222222223E-2</v>
      </c>
      <c r="G26">
        <f t="shared" si="0"/>
        <v>0.23742669459216714</v>
      </c>
      <c r="H26">
        <f>RTD("rit2.rtd",,A26,"POSITION")</f>
        <v>0</v>
      </c>
    </row>
    <row r="27" spans="1:8">
      <c r="A27" s="3" t="s">
        <v>31</v>
      </c>
      <c r="B27">
        <f>RTD("rit2.rtd",,$A27,"LAST")</f>
        <v>1.81</v>
      </c>
      <c r="C27">
        <v>1</v>
      </c>
      <c r="D27">
        <v>47</v>
      </c>
      <c r="E27">
        <v>2</v>
      </c>
      <c r="F27">
        <f>IF(E27=1, Strategies!$B$6, Strategies!$B$7)</f>
        <v>2.2222222222222223E-2</v>
      </c>
      <c r="G27">
        <f t="shared" si="0"/>
        <v>0.23953900583089785</v>
      </c>
      <c r="H27">
        <f>RTD("rit2.rtd",,A27,"POSITION")</f>
        <v>0</v>
      </c>
    </row>
    <row r="28" spans="1:8">
      <c r="A28" s="3" t="s">
        <v>32</v>
      </c>
      <c r="B28">
        <f>RTD("rit2.rtd",,$A28,"LAST")</f>
        <v>0.15</v>
      </c>
      <c r="C28">
        <v>0</v>
      </c>
      <c r="D28">
        <v>47</v>
      </c>
      <c r="E28">
        <v>2</v>
      </c>
      <c r="F28">
        <f>IF(E28=1, Strategies!$B$6, Strategies!$B$7)</f>
        <v>2.2222222222222223E-2</v>
      </c>
      <c r="G28">
        <f t="shared" si="0"/>
        <v>0.23953900583089788</v>
      </c>
      <c r="H28">
        <f>RTD("rit2.rtd",,A28,"POSITION")</f>
        <v>0</v>
      </c>
    </row>
    <row r="29" spans="1:8">
      <c r="A29" s="3" t="s">
        <v>33</v>
      </c>
      <c r="B29">
        <f>RTD("rit2.rtd",,$A29,"LAST")</f>
        <v>1.07</v>
      </c>
      <c r="C29">
        <v>1</v>
      </c>
      <c r="D29">
        <v>48</v>
      </c>
      <c r="E29">
        <v>2</v>
      </c>
      <c r="F29">
        <f>IF(E29=1, Strategies!$B$6, Strategies!$B$7)</f>
        <v>2.2222222222222223E-2</v>
      </c>
      <c r="G29">
        <f t="shared" si="0"/>
        <v>0.24021707458316749</v>
      </c>
      <c r="H29">
        <f>RTD("rit2.rtd",,A29,"POSITION")</f>
        <v>0</v>
      </c>
    </row>
    <row r="30" spans="1:8">
      <c r="A30" s="3" t="s">
        <v>34</v>
      </c>
      <c r="B30">
        <f>RTD("rit2.rtd",,$A30,"LAST")</f>
        <v>0.41</v>
      </c>
      <c r="C30">
        <v>0</v>
      </c>
      <c r="D30">
        <v>48</v>
      </c>
      <c r="E30">
        <v>2</v>
      </c>
      <c r="F30">
        <f>IF(E30=1, Strategies!$B$6, Strategies!$B$7)</f>
        <v>2.2222222222222223E-2</v>
      </c>
      <c r="G30">
        <f t="shared" si="0"/>
        <v>0.24021707458316349</v>
      </c>
      <c r="H30">
        <f>RTD("rit2.rtd",,A30,"POSITION")</f>
        <v>0</v>
      </c>
    </row>
    <row r="31" spans="1:8">
      <c r="A31" s="3" t="s">
        <v>35</v>
      </c>
      <c r="B31">
        <f>RTD("rit2.rtd",,$A31,"LAST")</f>
        <v>0.54</v>
      </c>
      <c r="C31">
        <v>1</v>
      </c>
      <c r="D31">
        <v>49</v>
      </c>
      <c r="E31">
        <v>2</v>
      </c>
      <c r="F31">
        <f>IF(E31=1, Strategies!$B$6, Strategies!$B$7)</f>
        <v>2.2222222222222223E-2</v>
      </c>
      <c r="G31">
        <f t="shared" si="0"/>
        <v>0.23997636856967899</v>
      </c>
      <c r="H31">
        <f>RTD("rit2.rtd",,A31,"POSITION")</f>
        <v>0</v>
      </c>
    </row>
    <row r="32" spans="1:8">
      <c r="A32" s="3" t="s">
        <v>36</v>
      </c>
      <c r="B32">
        <f>RTD("rit2.rtd",,$A32,"LAST")</f>
        <v>0.88</v>
      </c>
      <c r="C32">
        <v>0</v>
      </c>
      <c r="D32">
        <v>49</v>
      </c>
      <c r="E32">
        <v>2</v>
      </c>
      <c r="F32">
        <f>IF(E32=1, Strategies!$B$6, Strategies!$B$7)</f>
        <v>2.2222222222222223E-2</v>
      </c>
      <c r="G32">
        <f t="shared" si="0"/>
        <v>0.23997636856967514</v>
      </c>
      <c r="H32">
        <f>RTD("rit2.rtd",,A32,"POSITION")</f>
        <v>0</v>
      </c>
    </row>
    <row r="33" spans="1:8">
      <c r="A33" s="3" t="s">
        <v>37</v>
      </c>
      <c r="B33">
        <f>RTD("rit2.rtd",,$A33,"LAST")</f>
        <v>0.23</v>
      </c>
      <c r="C33">
        <v>1</v>
      </c>
      <c r="D33">
        <v>50</v>
      </c>
      <c r="E33">
        <v>2</v>
      </c>
      <c r="F33">
        <f>IF(E33=1, Strategies!$B$6, Strategies!$B$7)</f>
        <v>2.2222222222222223E-2</v>
      </c>
      <c r="G33">
        <f t="shared" si="0"/>
        <v>0.24102043155177952</v>
      </c>
      <c r="H33">
        <f>RTD("rit2.rtd",,A33,"POSITION")</f>
        <v>0</v>
      </c>
    </row>
    <row r="34" spans="1:8">
      <c r="A34" s="3" t="s">
        <v>38</v>
      </c>
      <c r="B34">
        <f>RTD("rit2.rtd",,$A34,"LAST")</f>
        <v>1.57</v>
      </c>
      <c r="C34">
        <v>0</v>
      </c>
      <c r="D34">
        <v>50</v>
      </c>
      <c r="E34">
        <v>2</v>
      </c>
      <c r="F34">
        <f>IF(E34=1, Strategies!$B$6, Strategies!$B$7)</f>
        <v>2.2222222222222223E-2</v>
      </c>
      <c r="G34">
        <f t="shared" si="0"/>
        <v>0.24102043155177572</v>
      </c>
      <c r="H34">
        <f>RTD("rit2.rtd",,A34,"POSITION")</f>
        <v>0</v>
      </c>
    </row>
    <row r="35" spans="1:8">
      <c r="A35" s="3" t="s">
        <v>39</v>
      </c>
      <c r="B35">
        <f>RTD("rit2.rtd",,$A35,"LAST")</f>
        <v>0.08</v>
      </c>
      <c r="C35">
        <v>1</v>
      </c>
      <c r="D35">
        <v>51</v>
      </c>
      <c r="E35">
        <v>2</v>
      </c>
      <c r="F35">
        <f>IF(E35=1, Strategies!$B$6, Strategies!$B$7)</f>
        <v>2.2222222222222223E-2</v>
      </c>
      <c r="G35">
        <f t="shared" si="0"/>
        <v>0.24083603050901936</v>
      </c>
      <c r="H35">
        <f>RTD("rit2.rtd",,A35,"POSITION")</f>
        <v>0</v>
      </c>
    </row>
    <row r="36" spans="1:8">
      <c r="A36" s="3" t="s">
        <v>40</v>
      </c>
      <c r="B36">
        <f>RTD("rit2.rtd",,$A36,"LAST")</f>
        <v>2.42</v>
      </c>
      <c r="C36">
        <v>0</v>
      </c>
      <c r="D36">
        <v>51</v>
      </c>
      <c r="E36">
        <v>2</v>
      </c>
      <c r="F36">
        <f>IF(E36=1, Strategies!$B$6, Strategies!$B$7)</f>
        <v>2.2222222222222223E-2</v>
      </c>
      <c r="G36">
        <f t="shared" si="0"/>
        <v>0.24083603050901828</v>
      </c>
      <c r="H36">
        <f>RTD("rit2.rtd",,A36,"POSITION")</f>
        <v>0</v>
      </c>
    </row>
    <row r="37" spans="1:8">
      <c r="A37" s="3" t="s">
        <v>41</v>
      </c>
      <c r="B37">
        <f>RTD("rit2.rtd",,$A37,"LAST")</f>
        <v>0.02</v>
      </c>
      <c r="C37">
        <v>1</v>
      </c>
      <c r="D37">
        <v>52</v>
      </c>
      <c r="E37">
        <v>2</v>
      </c>
      <c r="F37">
        <f>IF(E37=1, Strategies!$B$6, Strategies!$B$7)</f>
        <v>2.2222222222222223E-2</v>
      </c>
      <c r="G37">
        <f t="shared" si="0"/>
        <v>0.23554065992022216</v>
      </c>
      <c r="H37">
        <f>RTD("rit2.rtd",,A37,"POSITION")</f>
        <v>0</v>
      </c>
    </row>
    <row r="38" spans="1:8">
      <c r="A38" s="3" t="s">
        <v>42</v>
      </c>
      <c r="B38">
        <f>RTD("rit2.rtd",,$A38,"LAST")</f>
        <v>3.36</v>
      </c>
      <c r="C38">
        <v>0</v>
      </c>
      <c r="D38">
        <v>52</v>
      </c>
      <c r="E38">
        <v>2</v>
      </c>
      <c r="F38">
        <f>IF(E38=1, Strategies!$B$6, Strategies!$B$7)</f>
        <v>2.2222222222222223E-2</v>
      </c>
      <c r="G38">
        <f t="shared" si="0"/>
        <v>0.23554065992021561</v>
      </c>
      <c r="H38">
        <f>RTD("rit2.rtd",,A38,"POSITION")</f>
        <v>0</v>
      </c>
    </row>
    <row r="39" spans="1:8">
      <c r="A39" s="3" t="s">
        <v>43</v>
      </c>
      <c r="B39">
        <f>RTD("rit2.rtd",,$A39,"LAST")</f>
        <v>0.02</v>
      </c>
      <c r="C39">
        <v>1</v>
      </c>
      <c r="D39">
        <v>53</v>
      </c>
      <c r="E39">
        <v>2</v>
      </c>
      <c r="F39">
        <f>IF(E39=1, Strategies!$B$6, Strategies!$B$7)</f>
        <v>2.2222222222222223E-2</v>
      </c>
      <c r="G39">
        <f t="shared" si="0"/>
        <v>0.29033207586817067</v>
      </c>
      <c r="H39">
        <f>RTD("rit2.rtd",,A39,"POSITION")</f>
        <v>0</v>
      </c>
    </row>
    <row r="40" spans="1:8">
      <c r="A40" s="3" t="s">
        <v>44</v>
      </c>
      <c r="B40">
        <f>RTD("rit2.rtd",,$A40,"LAST")</f>
        <v>4.34</v>
      </c>
      <c r="C40">
        <v>0</v>
      </c>
      <c r="D40">
        <v>53</v>
      </c>
      <c r="E40">
        <v>2</v>
      </c>
      <c r="F40">
        <f>IF(E40=1, Strategies!$B$6, Strategies!$B$7)</f>
        <v>2.2222222222222223E-2</v>
      </c>
      <c r="G40">
        <f t="shared" si="0"/>
        <v>9.9993840785226787E-2</v>
      </c>
      <c r="H40">
        <f>RTD("rit2.rtd",,A40,"POSITION")</f>
        <v>0</v>
      </c>
    </row>
    <row r="41" spans="1:8">
      <c r="A41" s="3" t="s">
        <v>45</v>
      </c>
      <c r="B41">
        <f>RTD("rit2.rtd",,$A41,"LAST")</f>
        <v>0.02</v>
      </c>
      <c r="C41">
        <v>1</v>
      </c>
      <c r="D41">
        <v>54</v>
      </c>
      <c r="E41">
        <v>2</v>
      </c>
      <c r="F41">
        <f>IF(E41=1, Strategies!$B$6, Strategies!$B$7)</f>
        <v>2.2222222222222223E-2</v>
      </c>
      <c r="G41">
        <f t="shared" si="0"/>
        <v>0.34256175842272191</v>
      </c>
      <c r="H41">
        <f>RTD("rit2.rtd",,A41,"POSITION")</f>
        <v>0</v>
      </c>
    </row>
    <row r="42" spans="1:8">
      <c r="A42" s="3" t="s">
        <v>46</v>
      </c>
      <c r="B42">
        <f>RTD("rit2.rtd",,$A42,"LAST")</f>
        <v>5.34</v>
      </c>
      <c r="C42">
        <v>0</v>
      </c>
      <c r="D42">
        <v>54</v>
      </c>
      <c r="E42">
        <v>2</v>
      </c>
      <c r="F42">
        <f>IF(E42=1, Strategies!$B$6, Strategies!$B$7)</f>
        <v>2.2222222222222223E-2</v>
      </c>
      <c r="G42">
        <f t="shared" si="0"/>
        <v>9.9999998472334303E-2</v>
      </c>
      <c r="H42">
        <f>RTD("rit2.rtd",,A42,"POSITION")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EE532-E8AF-4E41-8E57-24F3DD4A50A4}">
  <sheetPr codeName="Sheet3"/>
  <dimension ref="A1:H24"/>
  <sheetViews>
    <sheetView workbookViewId="0">
      <selection activeCell="B6" sqref="B6"/>
    </sheetView>
  </sheetViews>
  <sheetFormatPr defaultColWidth="8.796875" defaultRowHeight="14.25"/>
  <cols>
    <col min="1" max="1" width="21.6640625" customWidth="1"/>
    <col min="2" max="2" width="27.46484375" customWidth="1"/>
    <col min="7" max="7" width="10.265625" bestFit="1" customWidth="1"/>
  </cols>
  <sheetData>
    <row r="1" spans="1:8">
      <c r="C1" t="s">
        <v>56</v>
      </c>
      <c r="D1" t="str">
        <f>RIGHT(H1,3)</f>
        <v>25%</v>
      </c>
      <c r="G1" t="s">
        <v>70</v>
      </c>
      <c r="H1" t="str">
        <f>RTD("rit2.rtd",,"LATESTNEWS",2)</f>
        <v>2,150,Week 7,Announcement 6,The latest annualized volatility of RTM is 25%</v>
      </c>
    </row>
    <row r="2" spans="1:8">
      <c r="C2" t="s">
        <v>56</v>
      </c>
      <c r="D2" t="e">
        <f>(LEFT(RIGHT(H1,32),3) + MID(RIGHT(H1,32),6,4))/2</f>
        <v>#VALUE!</v>
      </c>
      <c r="H2" t="str">
        <f>RTD("rit2.rtd",,"LATESTNEWS",1)</f>
        <v>2,187,,News 7,The annualized volatility of RTM is expected to be between 25% ~ 30% at the start of Week 8</v>
      </c>
    </row>
    <row r="3" spans="1:8">
      <c r="A3" t="s">
        <v>54</v>
      </c>
      <c r="B3" s="2">
        <f>VALUE(IF(D3="ERROR",D1,D3))</f>
        <v>0.25</v>
      </c>
      <c r="C3" t="s">
        <v>57</v>
      </c>
      <c r="D3" t="str">
        <f>IF(LEFT(RIGHT(H2,3),1) = "k","ERROR",RIGHT(H2,3))</f>
        <v>ERROR</v>
      </c>
    </row>
    <row r="4" spans="1:8">
      <c r="A4" t="s">
        <v>55</v>
      </c>
      <c r="B4" s="1">
        <f>VALUE(IFERROR(D4,D3))</f>
        <v>0.27500000000000002</v>
      </c>
      <c r="C4" t="s">
        <v>57</v>
      </c>
      <c r="D4">
        <f>(LEFT(RIGHT(H2,32),3) + MID(RIGHT(H2,32),6,4))/2</f>
        <v>0.27500000000000002</v>
      </c>
    </row>
    <row r="5" spans="1:8">
      <c r="B5" t="str">
        <f>LEFT(H5, SEARCH(" and the penalty percentage ",H6)-1)</f>
        <v xml:space="preserve">1,0,Week 1,Risk free rate and current annualized volatility of RTM,The current </v>
      </c>
      <c r="H5" t="str">
        <f>RTD("rit2.rtd",,"NEWS", 1)</f>
        <v>1,0,Week 1,Risk free rate and current annualized volatility of RTM,The current risk free rate is 0%. RTM is an ETF that mimics one of the major indices in the simulated world and its current annualized volatility is 20%. This heat consists of 20 trading days.</v>
      </c>
    </row>
    <row r="6" spans="1:8">
      <c r="A6" t="s">
        <v>5</v>
      </c>
      <c r="B6">
        <f ca="1">RIGHT(B5, LEN(B5)-SEARCH(" is ", B6)-3)-0</f>
        <v>0</v>
      </c>
      <c r="H6" t="str">
        <f>RTD("rit2.rtd",,"NEWS", 2)</f>
        <v>1,0,,Delta Limit and Penalty Percentage,The delta limit for this heat is 12,000 and the penalty percentage is 7%</v>
      </c>
    </row>
    <row r="7" spans="1:8">
      <c r="A7" t="s">
        <v>69</v>
      </c>
      <c r="B7" t="e">
        <f>RIGHT(H5, 2)-0</f>
        <v>#VALUE!</v>
      </c>
      <c r="H7" t="str">
        <f>RTD("rit2.rtd",,"NEWS", 3)</f>
        <v>1,37,,News 1,The annualized volatility of RTM is expected to be between 25% ~ 30% at the start of Week 2</v>
      </c>
    </row>
    <row r="8" spans="1:8">
      <c r="H8" t="str">
        <f>RTD("rit2.rtd",,"NEWS", 4)</f>
        <v>1,75,Week 2,Announcement 1,The latest annualized volatility of RTM is 27%</v>
      </c>
    </row>
    <row r="9" spans="1:8">
      <c r="A9" t="str">
        <f>RTD("rit2.rtd",,"LATESTNEWS",2)</f>
        <v>2,150,Week 7,Announcement 6,The latest annualized volatility of RTM is 25%</v>
      </c>
      <c r="H9" t="str">
        <f>RTD("rit2.rtd",,"NEWS", 5)</f>
        <v>1,112,,News 2,The annualized volatility of RTM is expected to be between 25% ~ 30% at the start of Week 3</v>
      </c>
    </row>
    <row r="10" spans="1:8">
      <c r="A10" t="str">
        <f>RTD("rit2.rtd",,"LATESTNEWS",1)</f>
        <v>2,187,,News 7,The annualized volatility of RTM is expected to be between 25% ~ 30% at the start of Week 8</v>
      </c>
      <c r="H10" t="str">
        <f>RTD("rit2.rtd",,"NEWS", 6)</f>
        <v>1,150,Week 3,Announcement 2,The latest annualized volatility of RTM is 29%</v>
      </c>
    </row>
    <row r="11" spans="1:8">
      <c r="H11" t="str">
        <f>RTD("rit2.rtd",,"NEWS", 7)</f>
        <v>1,187,,News 3,The annualized volatility of RTM is expected to be between 23% ~ 28% at the start of Week 4</v>
      </c>
    </row>
    <row r="12" spans="1:8">
      <c r="B12" t="e">
        <f>SEARCH(" and the penalty percentage ",H5)</f>
        <v>#VALUE!</v>
      </c>
      <c r="H12" t="str">
        <f>RTD("rit2.rtd",,"NEWS", 8)</f>
        <v>1,225,Week 4,Announcement 3,The latest annualized volatility of RTM is 25%</v>
      </c>
    </row>
    <row r="13" spans="1:8">
      <c r="H13" t="str">
        <f>RTD("rit2.rtd",,"NEWS", 9)</f>
        <v>1,262,,News 4,The annualized volatility of RTM is expected to be between 26% ~ 31% at the start of Week 5</v>
      </c>
    </row>
    <row r="14" spans="1:8">
      <c r="H14" t="str">
        <f>RTD("rit2.rtd",,"NEWS", 10)</f>
        <v>2,0,Week 5,Announcement 4,The latest annualized volatility of RTM is 27%</v>
      </c>
    </row>
    <row r="15" spans="1:8">
      <c r="H15" t="str">
        <f>RTD("rit2.rtd",,"NEWS", 11)</f>
        <v>2,37,,News 5,The annualized volatility of RTM is expected to be between 26% ~ 31% at the start of Week 6</v>
      </c>
    </row>
    <row r="16" spans="1:8">
      <c r="H16" t="str">
        <f>RTD("rit2.rtd",,"NEWS", 12)</f>
        <v>2,75,Week 6,Announcement 5,The latest annualized volatility of RTM is 28%</v>
      </c>
    </row>
    <row r="17" spans="8:8">
      <c r="H17" t="str">
        <f>RTD("rit2.rtd",,"NEWS", 13)</f>
        <v>2,112,,News 6,The annualized volatility of RTM is expected to be between 22% ~ 27% at the start of Week 7</v>
      </c>
    </row>
    <row r="18" spans="8:8">
      <c r="H18" t="str">
        <f>RTD("rit2.rtd",,"NEWS", 14)</f>
        <v>2,150,Week 7,Announcement 6,The latest annualized volatility of RTM is 25%</v>
      </c>
    </row>
    <row r="19" spans="8:8">
      <c r="H19" t="str">
        <f>RTD("rit2.rtd",,"NEWS", 15)</f>
        <v>2,187,,News 7,The annualized volatility of RTM is expected to be between 25% ~ 30% at the start of Week 8</v>
      </c>
    </row>
    <row r="20" spans="8:8">
      <c r="H20" t="str">
        <f>RTD("rit2.rtd",,"NEWS", 16)</f>
        <v>NEWS|16</v>
      </c>
    </row>
    <row r="21" spans="8:8">
      <c r="H21" t="str">
        <f>RTD("rit2.rtd",,"NEWS", 17)</f>
        <v>NEWS|17</v>
      </c>
    </row>
    <row r="22" spans="8:8">
      <c r="H22" t="str">
        <f>RTD("rit2.rtd",,"NEWS", 18)</f>
        <v>NEWS|18</v>
      </c>
    </row>
    <row r="23" spans="8:8">
      <c r="H23" t="str">
        <f>RTD("rit2.rtd",,"NEWS", 19)</f>
        <v>NEWS|19</v>
      </c>
    </row>
    <row r="24" spans="8:8">
      <c r="H24" t="str">
        <f>RTD("rit2.rtd",,"NEWS", 20)</f>
        <v>NEWS|20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0EA5-B63B-4C42-8CDE-4BB94B796829}">
  <sheetPr codeName="Sheet2"/>
  <dimension ref="A1:M42"/>
  <sheetViews>
    <sheetView workbookViewId="0">
      <selection sqref="A1:XFD1048576"/>
    </sheetView>
  </sheetViews>
  <sheetFormatPr defaultRowHeight="14.25"/>
  <sheetData>
    <row r="1" spans="1:13">
      <c r="A1" s="3" t="s">
        <v>61</v>
      </c>
      <c r="B1" t="s">
        <v>64</v>
      </c>
      <c r="C1" t="s">
        <v>63</v>
      </c>
      <c r="D1" t="s">
        <v>60</v>
      </c>
      <c r="E1" t="s">
        <v>65</v>
      </c>
      <c r="F1" t="s">
        <v>62</v>
      </c>
      <c r="G1" t="s">
        <v>58</v>
      </c>
      <c r="H1" t="s">
        <v>6</v>
      </c>
      <c r="I1" t="s">
        <v>66</v>
      </c>
      <c r="J1" t="s">
        <v>67</v>
      </c>
      <c r="L1" t="s">
        <v>68</v>
      </c>
      <c r="M1" t="s">
        <v>69</v>
      </c>
    </row>
    <row r="2" spans="1:13">
      <c r="A2" s="3" t="s">
        <v>0</v>
      </c>
      <c r="B2">
        <f>RTD("rit2.rtd",,$A2,"LAST")</f>
        <v>48.66</v>
      </c>
      <c r="G2">
        <v>1</v>
      </c>
      <c r="H2">
        <f>RTD("rit2.rtd",,A2,"POSITION")</f>
        <v>0</v>
      </c>
      <c r="I2">
        <f>SUMPRODUCT($G$2:$G$42, $H$2:$H$42)</f>
        <v>0</v>
      </c>
      <c r="J2" t="e">
        <f ca="1">IF(ABS(I3)&gt;L2, (ABS(I3)-L2)*M2, 0)</f>
        <v>#VALUE!</v>
      </c>
      <c r="L2" t="e">
        <f ca="1">News!B6</f>
        <v>#VALUE!</v>
      </c>
      <c r="M2" t="e">
        <f>News!B7</f>
        <v>#VALUE!</v>
      </c>
    </row>
    <row r="3" spans="1:13">
      <c r="A3" s="3" t="s">
        <v>7</v>
      </c>
      <c r="B3">
        <f>RTD("rit2.rtd",,$A3,"LAST")</f>
        <v>2.64</v>
      </c>
      <c r="C3">
        <v>1</v>
      </c>
      <c r="D3">
        <v>45</v>
      </c>
      <c r="E3">
        <v>1</v>
      </c>
      <c r="F3">
        <f>IF(E3=1, Strategies!$B$6, Strategies!$B$7)</f>
        <v>0</v>
      </c>
      <c r="G3">
        <f t="shared" ref="G3:G42" si="0">Black_Scholes($B$2,$D3,0,0,Black_Scholes($B$2,$D3,0,0,$B3,$F3,$C3,0,0,6),$F3,$C3,0,0,1)*100</f>
        <v>0</v>
      </c>
      <c r="H3">
        <f>RTD("rit2.rtd",,A3,"POSITION")</f>
        <v>0</v>
      </c>
    </row>
    <row r="4" spans="1:13">
      <c r="A4" s="3" t="s">
        <v>8</v>
      </c>
      <c r="B4">
        <f>RTD("rit2.rtd",,$A4,"LAST")</f>
        <v>0.02</v>
      </c>
      <c r="C4">
        <v>0</v>
      </c>
      <c r="D4">
        <v>45</v>
      </c>
      <c r="E4">
        <v>1</v>
      </c>
      <c r="F4">
        <f>IF(E4=1, Strategies!$B$6, Strategies!$B$7)</f>
        <v>0</v>
      </c>
      <c r="G4">
        <f t="shared" si="0"/>
        <v>0</v>
      </c>
      <c r="H4">
        <f>RTD("rit2.rtd",,A4,"POSITION")</f>
        <v>0</v>
      </c>
    </row>
    <row r="5" spans="1:13">
      <c r="A5" s="3" t="s">
        <v>9</v>
      </c>
      <c r="B5">
        <f>RTD("rit2.rtd",,$A5,"LAST")</f>
        <v>1.64</v>
      </c>
      <c r="C5">
        <v>1</v>
      </c>
      <c r="D5">
        <v>46</v>
      </c>
      <c r="E5">
        <v>1</v>
      </c>
      <c r="F5">
        <f>IF(E5=1, Strategies!$B$6, Strategies!$B$7)</f>
        <v>0</v>
      </c>
      <c r="G5">
        <f t="shared" si="0"/>
        <v>0</v>
      </c>
      <c r="H5">
        <f>RTD("rit2.rtd",,A5,"POSITION")</f>
        <v>0</v>
      </c>
    </row>
    <row r="6" spans="1:13">
      <c r="A6" s="3" t="s">
        <v>10</v>
      </c>
      <c r="B6">
        <f>RTD("rit2.rtd",,$A6,"LAST")</f>
        <v>0.02</v>
      </c>
      <c r="C6">
        <v>0</v>
      </c>
      <c r="D6">
        <v>46</v>
      </c>
      <c r="E6">
        <v>1</v>
      </c>
      <c r="F6">
        <f>IF(E6=1, Strategies!$B$6, Strategies!$B$7)</f>
        <v>0</v>
      </c>
      <c r="G6">
        <f t="shared" si="0"/>
        <v>0</v>
      </c>
      <c r="H6">
        <f>RTD("rit2.rtd",,A6,"POSITION")</f>
        <v>0</v>
      </c>
    </row>
    <row r="7" spans="1:13">
      <c r="A7" s="3" t="s">
        <v>11</v>
      </c>
      <c r="B7">
        <f>RTD("rit2.rtd",,$A7,"LAST")</f>
        <v>0.64</v>
      </c>
      <c r="C7">
        <v>1</v>
      </c>
      <c r="D7">
        <v>47</v>
      </c>
      <c r="E7">
        <v>1</v>
      </c>
      <c r="F7">
        <f>IF(E7=1, Strategies!$B$6, Strategies!$B$7)</f>
        <v>0</v>
      </c>
      <c r="G7">
        <f t="shared" si="0"/>
        <v>0</v>
      </c>
      <c r="H7">
        <f>RTD("rit2.rtd",,A7,"POSITION")</f>
        <v>0</v>
      </c>
    </row>
    <row r="8" spans="1:13">
      <c r="A8" s="3" t="s">
        <v>12</v>
      </c>
      <c r="B8">
        <f>RTD("rit2.rtd",,$A8,"LAST")</f>
        <v>0.02</v>
      </c>
      <c r="C8">
        <v>0</v>
      </c>
      <c r="D8">
        <v>47</v>
      </c>
      <c r="E8">
        <v>1</v>
      </c>
      <c r="F8">
        <f>IF(E8=1, Strategies!$B$6, Strategies!$B$7)</f>
        <v>0</v>
      </c>
      <c r="G8">
        <f t="shared" si="0"/>
        <v>0</v>
      </c>
      <c r="H8">
        <f>RTD("rit2.rtd",,A8,"POSITION")</f>
        <v>0</v>
      </c>
    </row>
    <row r="9" spans="1:13">
      <c r="A9" s="3" t="s">
        <v>13</v>
      </c>
      <c r="B9">
        <f>RTD("rit2.rtd",,$A9,"LAST")</f>
        <v>0.02</v>
      </c>
      <c r="C9">
        <v>1</v>
      </c>
      <c r="D9">
        <v>48</v>
      </c>
      <c r="E9">
        <v>1</v>
      </c>
      <c r="F9">
        <f>IF(E9=1, Strategies!$B$6, Strategies!$B$7)</f>
        <v>0</v>
      </c>
      <c r="G9">
        <f t="shared" si="0"/>
        <v>0</v>
      </c>
      <c r="H9">
        <f>RTD("rit2.rtd",,A9,"POSITION")</f>
        <v>0</v>
      </c>
    </row>
    <row r="10" spans="1:13">
      <c r="A10" s="3" t="s">
        <v>14</v>
      </c>
      <c r="B10">
        <f>RTD("rit2.rtd",,$A10,"LAST")</f>
        <v>0.36</v>
      </c>
      <c r="C10">
        <v>0</v>
      </c>
      <c r="D10">
        <v>48</v>
      </c>
      <c r="E10">
        <v>1</v>
      </c>
      <c r="F10">
        <f>IF(E10=1, Strategies!$B$6, Strategies!$B$7)</f>
        <v>0</v>
      </c>
      <c r="G10">
        <f t="shared" si="0"/>
        <v>0</v>
      </c>
      <c r="H10">
        <f>RTD("rit2.rtd",,A10,"POSITION")</f>
        <v>0</v>
      </c>
    </row>
    <row r="11" spans="1:13">
      <c r="A11" s="3" t="s">
        <v>15</v>
      </c>
      <c r="B11">
        <f>RTD("rit2.rtd",,$A11,"LAST")</f>
        <v>0.02</v>
      </c>
      <c r="C11">
        <v>1</v>
      </c>
      <c r="D11">
        <v>49</v>
      </c>
      <c r="E11">
        <v>1</v>
      </c>
      <c r="F11">
        <f>IF(E11=1, Strategies!$B$6, Strategies!$B$7)</f>
        <v>0</v>
      </c>
      <c r="G11">
        <f t="shared" si="0"/>
        <v>0</v>
      </c>
      <c r="H11">
        <f>RTD("rit2.rtd",,A11,"POSITION")</f>
        <v>0</v>
      </c>
    </row>
    <row r="12" spans="1:13">
      <c r="A12" s="3" t="s">
        <v>16</v>
      </c>
      <c r="B12">
        <f>RTD("rit2.rtd",,$A12,"LAST")</f>
        <v>1.36</v>
      </c>
      <c r="C12">
        <v>0</v>
      </c>
      <c r="D12">
        <v>49</v>
      </c>
      <c r="E12">
        <v>1</v>
      </c>
      <c r="F12">
        <f>IF(E12=1, Strategies!$B$6, Strategies!$B$7)</f>
        <v>0</v>
      </c>
      <c r="G12">
        <f t="shared" si="0"/>
        <v>0</v>
      </c>
      <c r="H12">
        <f>RTD("rit2.rtd",,A12,"POSITION")</f>
        <v>0</v>
      </c>
    </row>
    <row r="13" spans="1:13">
      <c r="A13" s="3" t="s">
        <v>17</v>
      </c>
      <c r="B13">
        <f>RTD("rit2.rtd",,$A13,"LAST")</f>
        <v>0.02</v>
      </c>
      <c r="C13">
        <v>1</v>
      </c>
      <c r="D13">
        <v>50</v>
      </c>
      <c r="E13">
        <v>1</v>
      </c>
      <c r="F13">
        <f>IF(E13=1, Strategies!$B$6, Strategies!$B$7)</f>
        <v>0</v>
      </c>
      <c r="G13">
        <f t="shared" si="0"/>
        <v>0</v>
      </c>
      <c r="H13">
        <f>RTD("rit2.rtd",,A13,"POSITION")</f>
        <v>0</v>
      </c>
    </row>
    <row r="14" spans="1:13">
      <c r="A14" s="3" t="s">
        <v>18</v>
      </c>
      <c r="B14">
        <f>RTD("rit2.rtd",,$A14,"LAST")</f>
        <v>2.36</v>
      </c>
      <c r="C14">
        <v>0</v>
      </c>
      <c r="D14">
        <v>50</v>
      </c>
      <c r="E14">
        <v>1</v>
      </c>
      <c r="F14">
        <f>IF(E14=1, Strategies!$B$6, Strategies!$B$7)</f>
        <v>0</v>
      </c>
      <c r="G14">
        <f t="shared" si="0"/>
        <v>0</v>
      </c>
      <c r="H14">
        <f>RTD("rit2.rtd",,A14,"POSITION")</f>
        <v>0</v>
      </c>
    </row>
    <row r="15" spans="1:13">
      <c r="A15" s="3" t="s">
        <v>19</v>
      </c>
      <c r="B15">
        <f>RTD("rit2.rtd",,$A15,"LAST")</f>
        <v>0.02</v>
      </c>
      <c r="C15">
        <v>1</v>
      </c>
      <c r="D15">
        <v>51</v>
      </c>
      <c r="E15">
        <v>1</v>
      </c>
      <c r="F15">
        <f>IF(E15=1, Strategies!$B$6, Strategies!$B$7)</f>
        <v>0</v>
      </c>
      <c r="G15">
        <f t="shared" si="0"/>
        <v>0</v>
      </c>
      <c r="H15">
        <f>RTD("rit2.rtd",,A15,"POSITION")</f>
        <v>0</v>
      </c>
    </row>
    <row r="16" spans="1:13">
      <c r="A16" s="3" t="s">
        <v>20</v>
      </c>
      <c r="B16">
        <f>RTD("rit2.rtd",,$A16,"LAST")</f>
        <v>3.36</v>
      </c>
      <c r="C16">
        <v>0</v>
      </c>
      <c r="D16">
        <v>51</v>
      </c>
      <c r="E16">
        <v>1</v>
      </c>
      <c r="F16">
        <f>IF(E16=1, Strategies!$B$6, Strategies!$B$7)</f>
        <v>0</v>
      </c>
      <c r="G16">
        <f t="shared" si="0"/>
        <v>0</v>
      </c>
      <c r="H16">
        <f>RTD("rit2.rtd",,A16,"POSITION")</f>
        <v>0</v>
      </c>
    </row>
    <row r="17" spans="1:8">
      <c r="A17" s="3" t="s">
        <v>21</v>
      </c>
      <c r="B17">
        <f>RTD("rit2.rtd",,$A17,"LAST")</f>
        <v>0.02</v>
      </c>
      <c r="C17">
        <v>1</v>
      </c>
      <c r="D17">
        <v>52</v>
      </c>
      <c r="E17">
        <v>1</v>
      </c>
      <c r="F17">
        <f>IF(E17=1, Strategies!$B$6, Strategies!$B$7)</f>
        <v>0</v>
      </c>
      <c r="G17">
        <f t="shared" si="0"/>
        <v>0</v>
      </c>
      <c r="H17">
        <f>RTD("rit2.rtd",,A17,"POSITION")</f>
        <v>0</v>
      </c>
    </row>
    <row r="18" spans="1:8">
      <c r="A18" s="3" t="s">
        <v>22</v>
      </c>
      <c r="B18">
        <f>RTD("rit2.rtd",,$A18,"LAST")</f>
        <v>4.3600000000000003</v>
      </c>
      <c r="C18">
        <v>0</v>
      </c>
      <c r="D18">
        <v>52</v>
      </c>
      <c r="E18">
        <v>1</v>
      </c>
      <c r="F18">
        <f>IF(E18=1, Strategies!$B$6, Strategies!$B$7)</f>
        <v>0</v>
      </c>
      <c r="G18">
        <f t="shared" si="0"/>
        <v>0</v>
      </c>
      <c r="H18">
        <f>RTD("rit2.rtd",,A18,"POSITION")</f>
        <v>0</v>
      </c>
    </row>
    <row r="19" spans="1:8">
      <c r="A19" s="3" t="s">
        <v>23</v>
      </c>
      <c r="B19">
        <f>RTD("rit2.rtd",,$A19,"LAST")</f>
        <v>0.02</v>
      </c>
      <c r="C19">
        <v>1</v>
      </c>
      <c r="D19">
        <v>53</v>
      </c>
      <c r="E19">
        <v>1</v>
      </c>
      <c r="F19">
        <f>IF(E19=1, Strategies!$B$6, Strategies!$B$7)</f>
        <v>0</v>
      </c>
      <c r="G19">
        <f t="shared" si="0"/>
        <v>0</v>
      </c>
      <c r="H19">
        <f>RTD("rit2.rtd",,A19,"POSITION")</f>
        <v>0</v>
      </c>
    </row>
    <row r="20" spans="1:8">
      <c r="A20" s="3" t="s">
        <v>24</v>
      </c>
      <c r="B20">
        <f>RTD("rit2.rtd",,$A20,"LAST")</f>
        <v>5.36</v>
      </c>
      <c r="C20">
        <v>0</v>
      </c>
      <c r="D20">
        <v>53</v>
      </c>
      <c r="E20">
        <v>1</v>
      </c>
      <c r="F20">
        <f>IF(E20=1, Strategies!$B$6, Strategies!$B$7)</f>
        <v>0</v>
      </c>
      <c r="G20">
        <f t="shared" si="0"/>
        <v>0</v>
      </c>
      <c r="H20">
        <f>RTD("rit2.rtd",,A20,"POSITION")</f>
        <v>0</v>
      </c>
    </row>
    <row r="21" spans="1:8">
      <c r="A21" s="3" t="s">
        <v>25</v>
      </c>
      <c r="B21">
        <f>RTD("rit2.rtd",,$A21,"LAST")</f>
        <v>0.02</v>
      </c>
      <c r="C21">
        <v>1</v>
      </c>
      <c r="D21">
        <v>54</v>
      </c>
      <c r="E21">
        <v>1</v>
      </c>
      <c r="F21">
        <f>IF(E21=1, Strategies!$B$6, Strategies!$B$7)</f>
        <v>0</v>
      </c>
      <c r="G21">
        <f t="shared" si="0"/>
        <v>0</v>
      </c>
      <c r="H21">
        <f>RTD("rit2.rtd",,A21,"POSITION")</f>
        <v>0</v>
      </c>
    </row>
    <row r="22" spans="1:8">
      <c r="A22" s="3" t="s">
        <v>26</v>
      </c>
      <c r="B22">
        <f>RTD("rit2.rtd",,$A22,"LAST")</f>
        <v>6.36</v>
      </c>
      <c r="C22">
        <v>0</v>
      </c>
      <c r="D22">
        <v>54</v>
      </c>
      <c r="E22">
        <v>1</v>
      </c>
      <c r="F22">
        <f>IF(E22=1, Strategies!$B$6, Strategies!$B$7)</f>
        <v>0</v>
      </c>
      <c r="G22">
        <f t="shared" si="0"/>
        <v>0</v>
      </c>
      <c r="H22">
        <f>RTD("rit2.rtd",,A22,"POSITION")</f>
        <v>0</v>
      </c>
    </row>
    <row r="23" spans="1:8">
      <c r="A23" s="3" t="s">
        <v>27</v>
      </c>
      <c r="B23">
        <f>RTD("rit2.rtd",,$A23,"LAST")</f>
        <v>3.67</v>
      </c>
      <c r="C23">
        <v>1</v>
      </c>
      <c r="D23">
        <v>45</v>
      </c>
      <c r="E23">
        <v>2</v>
      </c>
      <c r="F23">
        <f>IF(E23=1, Strategies!$B$6, Strategies!$B$7)</f>
        <v>2.2222222222222223E-2</v>
      </c>
      <c r="G23">
        <f t="shared" si="0"/>
        <v>98.44217077478433</v>
      </c>
      <c r="H23">
        <f>RTD("rit2.rtd",,A23,"POSITION")</f>
        <v>0</v>
      </c>
    </row>
    <row r="24" spans="1:8">
      <c r="A24" s="3" t="s">
        <v>28</v>
      </c>
      <c r="B24">
        <f>RTD("rit2.rtd",,$A24,"LAST")</f>
        <v>0.02</v>
      </c>
      <c r="C24">
        <v>0</v>
      </c>
      <c r="D24">
        <v>45</v>
      </c>
      <c r="E24">
        <v>2</v>
      </c>
      <c r="F24">
        <f>IF(E24=1, Strategies!$B$6, Strategies!$B$7)</f>
        <v>2.2222222222222223E-2</v>
      </c>
      <c r="G24">
        <f t="shared" si="0"/>
        <v>-2.6173187446445922</v>
      </c>
      <c r="H24">
        <f>RTD("rit2.rtd",,A24,"POSITION")</f>
        <v>0</v>
      </c>
    </row>
    <row r="25" spans="1:8">
      <c r="A25" s="3" t="s">
        <v>29</v>
      </c>
      <c r="B25">
        <f>RTD("rit2.rtd",,$A25,"LAST")</f>
        <v>2.7</v>
      </c>
      <c r="C25">
        <v>1</v>
      </c>
      <c r="D25">
        <v>46</v>
      </c>
      <c r="E25">
        <v>2</v>
      </c>
      <c r="F25">
        <f>IF(E25=1, Strategies!$B$6, Strategies!$B$7)</f>
        <v>2.2222222222222223E-2</v>
      </c>
      <c r="G25">
        <f t="shared" si="0"/>
        <v>94.586416091727259</v>
      </c>
      <c r="H25">
        <f>RTD("rit2.rtd",,A25,"POSITION")</f>
        <v>0</v>
      </c>
    </row>
    <row r="26" spans="1:8">
      <c r="A26" s="3" t="s">
        <v>30</v>
      </c>
      <c r="B26">
        <f>RTD("rit2.rtd",,$A26,"LAST")</f>
        <v>0.04</v>
      </c>
      <c r="C26">
        <v>0</v>
      </c>
      <c r="D26">
        <v>46</v>
      </c>
      <c r="E26">
        <v>2</v>
      </c>
      <c r="F26">
        <f>IF(E26=1, Strategies!$B$6, Strategies!$B$7)</f>
        <v>2.2222222222222223E-2</v>
      </c>
      <c r="G26">
        <f t="shared" si="0"/>
        <v>-5.4135839082722459</v>
      </c>
      <c r="H26">
        <f>RTD("rit2.rtd",,A26,"POSITION")</f>
        <v>0</v>
      </c>
    </row>
    <row r="27" spans="1:8">
      <c r="A27" s="3" t="s">
        <v>31</v>
      </c>
      <c r="B27">
        <f>RTD("rit2.rtd",,$A27,"LAST")</f>
        <v>1.81</v>
      </c>
      <c r="C27">
        <v>1</v>
      </c>
      <c r="D27">
        <v>47</v>
      </c>
      <c r="E27">
        <v>2</v>
      </c>
      <c r="F27">
        <f>IF(E27=1, Strategies!$B$6, Strategies!$B$7)</f>
        <v>2.2222222222222223E-2</v>
      </c>
      <c r="G27">
        <f t="shared" si="0"/>
        <v>83.888553608069344</v>
      </c>
      <c r="H27">
        <f>RTD("rit2.rtd",,A27,"POSITION")</f>
        <v>0</v>
      </c>
    </row>
    <row r="28" spans="1:8">
      <c r="A28" s="3" t="s">
        <v>32</v>
      </c>
      <c r="B28">
        <f>RTD("rit2.rtd",,$A28,"LAST")</f>
        <v>0.15</v>
      </c>
      <c r="C28">
        <v>0</v>
      </c>
      <c r="D28">
        <v>47</v>
      </c>
      <c r="E28">
        <v>2</v>
      </c>
      <c r="F28">
        <f>IF(E28=1, Strategies!$B$6, Strategies!$B$7)</f>
        <v>2.2222222222222223E-2</v>
      </c>
      <c r="G28">
        <f t="shared" si="0"/>
        <v>-16.111446391930649</v>
      </c>
      <c r="H28">
        <f>RTD("rit2.rtd",,A28,"POSITION")</f>
        <v>0</v>
      </c>
    </row>
    <row r="29" spans="1:8">
      <c r="A29" s="3" t="s">
        <v>33</v>
      </c>
      <c r="B29">
        <f>RTD("rit2.rtd",,$A29,"LAST")</f>
        <v>1.07</v>
      </c>
      <c r="C29">
        <v>1</v>
      </c>
      <c r="D29">
        <v>48</v>
      </c>
      <c r="E29">
        <v>2</v>
      </c>
      <c r="F29">
        <f>IF(E29=1, Strategies!$B$6, Strategies!$B$7)</f>
        <v>2.2222222222222223E-2</v>
      </c>
      <c r="G29">
        <f t="shared" si="0"/>
        <v>65.515124346278682</v>
      </c>
      <c r="H29">
        <f>RTD("rit2.rtd",,A29,"POSITION")</f>
        <v>0</v>
      </c>
    </row>
    <row r="30" spans="1:8">
      <c r="A30" s="3" t="s">
        <v>34</v>
      </c>
      <c r="B30">
        <f>RTD("rit2.rtd",,$A30,"LAST")</f>
        <v>0.41</v>
      </c>
      <c r="C30">
        <v>0</v>
      </c>
      <c r="D30">
        <v>48</v>
      </c>
      <c r="E30">
        <v>2</v>
      </c>
      <c r="F30">
        <f>IF(E30=1, Strategies!$B$6, Strategies!$B$7)</f>
        <v>2.2222222222222223E-2</v>
      </c>
      <c r="G30">
        <f t="shared" si="0"/>
        <v>-34.48487565372109</v>
      </c>
      <c r="H30">
        <f>RTD("rit2.rtd",,A30,"POSITION")</f>
        <v>0</v>
      </c>
    </row>
    <row r="31" spans="1:8">
      <c r="A31" s="3" t="s">
        <v>35</v>
      </c>
      <c r="B31">
        <f>RTD("rit2.rtd",,$A31,"LAST")</f>
        <v>0.54</v>
      </c>
      <c r="C31">
        <v>1</v>
      </c>
      <c r="D31">
        <v>49</v>
      </c>
      <c r="E31">
        <v>2</v>
      </c>
      <c r="F31">
        <f>IF(E31=1, Strategies!$B$6, Strategies!$B$7)</f>
        <v>2.2222222222222223E-2</v>
      </c>
      <c r="G31">
        <f t="shared" si="0"/>
        <v>42.985118684174104</v>
      </c>
      <c r="H31">
        <f>RTD("rit2.rtd",,A31,"POSITION")</f>
        <v>0</v>
      </c>
    </row>
    <row r="32" spans="1:8">
      <c r="A32" s="3" t="s">
        <v>36</v>
      </c>
      <c r="B32">
        <f>RTD("rit2.rtd",,$A32,"LAST")</f>
        <v>0.88</v>
      </c>
      <c r="C32">
        <v>0</v>
      </c>
      <c r="D32">
        <v>49</v>
      </c>
      <c r="E32">
        <v>2</v>
      </c>
      <c r="F32">
        <f>IF(E32=1, Strategies!$B$6, Strategies!$B$7)</f>
        <v>2.2222222222222223E-2</v>
      </c>
      <c r="G32">
        <f t="shared" si="0"/>
        <v>-57.014881315826038</v>
      </c>
      <c r="H32">
        <f>RTD("rit2.rtd",,A32,"POSITION")</f>
        <v>0</v>
      </c>
    </row>
    <row r="33" spans="1:8">
      <c r="A33" s="3" t="s">
        <v>37</v>
      </c>
      <c r="B33">
        <f>RTD("rit2.rtd",,$A33,"LAST")</f>
        <v>0.23</v>
      </c>
      <c r="C33">
        <v>1</v>
      </c>
      <c r="D33">
        <v>50</v>
      </c>
      <c r="E33">
        <v>2</v>
      </c>
      <c r="F33">
        <f>IF(E33=1, Strategies!$B$6, Strategies!$B$7)</f>
        <v>2.2222222222222223E-2</v>
      </c>
      <c r="G33">
        <f t="shared" si="0"/>
        <v>23.021942585601433</v>
      </c>
      <c r="H33">
        <f>RTD("rit2.rtd",,A33,"POSITION")</f>
        <v>0</v>
      </c>
    </row>
    <row r="34" spans="1:8">
      <c r="A34" s="3" t="s">
        <v>38</v>
      </c>
      <c r="B34">
        <f>RTD("rit2.rtd",,$A34,"LAST")</f>
        <v>1.57</v>
      </c>
      <c r="C34">
        <v>0</v>
      </c>
      <c r="D34">
        <v>50</v>
      </c>
      <c r="E34">
        <v>2</v>
      </c>
      <c r="F34">
        <f>IF(E34=1, Strategies!$B$6, Strategies!$B$7)</f>
        <v>2.2222222222222223E-2</v>
      </c>
      <c r="G34">
        <f t="shared" si="0"/>
        <v>-76.978057414398933</v>
      </c>
      <c r="H34">
        <f>RTD("rit2.rtd",,A34,"POSITION")</f>
        <v>0</v>
      </c>
    </row>
    <row r="35" spans="1:8">
      <c r="A35" s="3" t="s">
        <v>39</v>
      </c>
      <c r="B35">
        <f>RTD("rit2.rtd",,$A35,"LAST")</f>
        <v>0.08</v>
      </c>
      <c r="C35">
        <v>1</v>
      </c>
      <c r="D35">
        <v>51</v>
      </c>
      <c r="E35">
        <v>2</v>
      </c>
      <c r="F35">
        <f>IF(E35=1, Strategies!$B$6, Strategies!$B$7)</f>
        <v>2.2222222222222223E-2</v>
      </c>
      <c r="G35">
        <f t="shared" si="0"/>
        <v>9.8474072930442045</v>
      </c>
      <c r="H35">
        <f>RTD("rit2.rtd",,A35,"POSITION")</f>
        <v>0</v>
      </c>
    </row>
    <row r="36" spans="1:8">
      <c r="A36" s="3" t="s">
        <v>40</v>
      </c>
      <c r="B36">
        <f>RTD("rit2.rtd",,$A36,"LAST")</f>
        <v>2.42</v>
      </c>
      <c r="C36">
        <v>0</v>
      </c>
      <c r="D36">
        <v>51</v>
      </c>
      <c r="E36">
        <v>2</v>
      </c>
      <c r="F36">
        <f>IF(E36=1, Strategies!$B$6, Strategies!$B$7)</f>
        <v>2.2222222222222223E-2</v>
      </c>
      <c r="G36">
        <f t="shared" si="0"/>
        <v>-90.152592706955886</v>
      </c>
      <c r="H36">
        <f>RTD("rit2.rtd",,A36,"POSITION")</f>
        <v>0</v>
      </c>
    </row>
    <row r="37" spans="1:8">
      <c r="A37" s="3" t="s">
        <v>41</v>
      </c>
      <c r="B37">
        <f>RTD("rit2.rtd",,$A37,"LAST")</f>
        <v>0.02</v>
      </c>
      <c r="C37">
        <v>1</v>
      </c>
      <c r="D37">
        <v>52</v>
      </c>
      <c r="E37">
        <v>2</v>
      </c>
      <c r="F37">
        <f>IF(E37=1, Strategies!$B$6, Strategies!$B$7)</f>
        <v>2.2222222222222223E-2</v>
      </c>
      <c r="G37">
        <f t="shared" si="0"/>
        <v>3.0525177779736925</v>
      </c>
      <c r="H37">
        <f>RTD("rit2.rtd",,A37,"POSITION")</f>
        <v>0</v>
      </c>
    </row>
    <row r="38" spans="1:8">
      <c r="A38" s="3" t="s">
        <v>42</v>
      </c>
      <c r="B38">
        <f>RTD("rit2.rtd",,$A38,"LAST")</f>
        <v>3.36</v>
      </c>
      <c r="C38">
        <v>0</v>
      </c>
      <c r="D38">
        <v>52</v>
      </c>
      <c r="E38">
        <v>2</v>
      </c>
      <c r="F38">
        <f>IF(E38=1, Strategies!$B$6, Strategies!$B$7)</f>
        <v>2.2222222222222223E-2</v>
      </c>
      <c r="G38">
        <f t="shared" si="0"/>
        <v>-96.947482222026665</v>
      </c>
      <c r="H38">
        <f>RTD("rit2.rtd",,A38,"POSITION")</f>
        <v>0</v>
      </c>
    </row>
    <row r="39" spans="1:8">
      <c r="A39" s="3" t="s">
        <v>43</v>
      </c>
      <c r="B39">
        <f>RTD("rit2.rtd",,$A39,"LAST")</f>
        <v>0.02</v>
      </c>
      <c r="C39">
        <v>1</v>
      </c>
      <c r="D39">
        <v>53</v>
      </c>
      <c r="E39">
        <v>2</v>
      </c>
      <c r="F39">
        <f>IF(E39=1, Strategies!$B$6, Strategies!$B$7)</f>
        <v>2.2222222222222223E-2</v>
      </c>
      <c r="G39">
        <f t="shared" si="0"/>
        <v>2.54482782538728</v>
      </c>
      <c r="H39">
        <f>RTD("rit2.rtd",,A39,"POSITION")</f>
        <v>0</v>
      </c>
    </row>
    <row r="40" spans="1:8">
      <c r="A40" s="3" t="s">
        <v>44</v>
      </c>
      <c r="B40">
        <f>RTD("rit2.rtd",,$A40,"LAST")</f>
        <v>4.34</v>
      </c>
      <c r="C40">
        <v>0</v>
      </c>
      <c r="D40">
        <v>53</v>
      </c>
      <c r="E40">
        <v>2</v>
      </c>
      <c r="F40">
        <f>IF(E40=1, Strategies!$B$6, Strategies!$B$7)</f>
        <v>2.2222222222222223E-2</v>
      </c>
      <c r="G40">
        <f t="shared" si="0"/>
        <v>-99.999999478326401</v>
      </c>
      <c r="H40">
        <f>RTD("rit2.rtd",,A40,"POSITION")</f>
        <v>0</v>
      </c>
    </row>
    <row r="41" spans="1:8">
      <c r="A41" s="3" t="s">
        <v>45</v>
      </c>
      <c r="B41">
        <f>RTD("rit2.rtd",,$A41,"LAST")</f>
        <v>0.02</v>
      </c>
      <c r="C41">
        <v>1</v>
      </c>
      <c r="D41">
        <v>54</v>
      </c>
      <c r="E41">
        <v>2</v>
      </c>
      <c r="F41">
        <f>IF(E41=1, Strategies!$B$6, Strategies!$B$7)</f>
        <v>2.2222222222222223E-2</v>
      </c>
      <c r="G41">
        <f t="shared" si="0"/>
        <v>2.2029661069922981</v>
      </c>
      <c r="H41">
        <f>RTD("rit2.rtd",,A41,"POSITION")</f>
        <v>0</v>
      </c>
    </row>
    <row r="42" spans="1:8">
      <c r="A42" s="3" t="s">
        <v>46</v>
      </c>
      <c r="B42">
        <f>RTD("rit2.rtd",,$A42,"LAST")</f>
        <v>5.34</v>
      </c>
      <c r="C42">
        <v>0</v>
      </c>
      <c r="D42">
        <v>54</v>
      </c>
      <c r="E42">
        <v>2</v>
      </c>
      <c r="F42">
        <f>IF(E42=1, Strategies!$B$6, Strategies!$B$7)</f>
        <v>2.2222222222222223E-2</v>
      </c>
      <c r="G42">
        <f t="shared" si="0"/>
        <v>-99.999999999848882</v>
      </c>
      <c r="H42">
        <f>RTD("rit2.rtd",,A42,"POSITION")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Strategies</vt:lpstr>
      <vt:lpstr>IV</vt:lpstr>
      <vt:lpstr>News</vt:lpstr>
      <vt:lpstr>Delta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laurachen</dc:creator>
  <cp:lastModifiedBy>Bob Huang</cp:lastModifiedBy>
  <dcterms:created xsi:type="dcterms:W3CDTF">2022-02-09T17:40:23Z</dcterms:created>
  <dcterms:modified xsi:type="dcterms:W3CDTF">2022-02-24T23:58:52Z</dcterms:modified>
</cp:coreProperties>
</file>